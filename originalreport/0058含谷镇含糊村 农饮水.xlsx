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<sst xmlns="http://schemas.openxmlformats.org/spreadsheetml/2006/main" count="257" uniqueCount="190">
  <si>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( 0058)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</si>
  <si>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</si>
  <si>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</si>
  <si>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</si>
  <si>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</si>
  <si>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</si>
  <si>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</si>
  <si>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生活饮用水</t>
    </r>
    <r>
      <rPr>
        <sz val="12"/>
        <color rgb="FF000000"/>
        <rFont val="宋体"/>
        <charset val="134"/>
      </rPr>
      <t>【含谷镇含湖村】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</si>
  <si>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</si>
  <si>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</si>
  <si>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</si>
  <si>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</si>
  <si>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</si>
  <si>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</si>
  <si>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( 0058)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</si>
  <si>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</si>
  <si>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</si>
  <si>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</si>
  <si>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</si>
  <si>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生活饮用水（农饮水）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</si>
  <si>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</si>
  <si>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</si>
  <si>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</si>
  <si>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</si>
  <si>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</si>
  <si>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</si>
  <si>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</si>
  <si>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</si>
  <si>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</si>
  <si>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</si>
  <si>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含湖村卫生所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</si>
  <si>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</si>
  <si>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</si>
  <si>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</si>
  <si>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W260109C16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</si>
  <si>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</si>
  <si>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</si>
  <si>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</si>
  <si>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</si>
  <si>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</si>
  <si>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</si>
  <si>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</si>
  <si>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</si>
  <si>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</si>
  <si>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</si>
  <si>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</si>
  <si>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</si>
  <si>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</si>
  <si>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</si>
  <si>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</si>
  <si>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</si>
  <si>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</si>
  <si>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</si>
  <si>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</si>
  <si>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</si>
  <si>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</si>
  <si>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</si>
  <si>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</si>
  <si>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</si>
  <si>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</si>
  <si>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</si>
  <si>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</si>
  <si>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</si>
  <si>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</si>
  <si>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</si>
  <si>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</si>
  <si>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</si>
  <si>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</si>
  <si>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</si>
  <si>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</si>
  <si>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</si>
  <si>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</si>
  <si>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</si>
  <si>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</si>
  <si>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</si>
  <si>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</si>
  <si>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</si>
  <si>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</si>
  <si>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</si>
  <si>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</si>
  <si>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</si>
  <si>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</si>
  <si>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</si>
  <si>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</si>
  <si>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</si>
  <si>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</si>
  <si>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</si>
  <si>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</si>
  <si>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</si>
  <si>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</si>
  <si>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</si>
  <si>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</si>
  <si>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</si>
  <si>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</si>
  <si>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</si>
  <si>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</si>
  <si>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</si>
  <si>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</si>
  <si>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</si>
  <si>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</si>
  <si>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</si>
  <si>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</si>
  <si>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</si>
  <si>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0.053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</si>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</sst>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.0000_ "/>
    <numFmt numFmtId="182" formatCode="0.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2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17" borderId="23" applyNumberFormat="0" applyFont="0" applyAlignment="0" applyProtection="0">
      <alignment vertical="center"/>
    </xf>
    <xf numFmtId="0" fontId="8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3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0" fillId="3" borderId="18" applyNumberFormat="0" applyAlignment="0" applyProtection="0">
      <alignment vertical="center"/>
    </xf>
    <xf numFmtId="0" fontId="44" fillId="3" borderId="17" applyNumberFormat="0" applyAlignment="0" applyProtection="0">
      <alignment vertical="center"/>
    </xf>
    <xf numFmtId="0" fontId="37" fillId="16" borderId="21" applyNumberFormat="0" applyAlignment="0" applyProtection="0">
      <alignment vertical="center"/>
    </xf>
    <xf numFmtId="0" fontId="8" fillId="0" borderId="0"/>
    <xf numFmtId="0" fontId="8" fillId="0" borderId="0"/>
    <xf numFmtId="0" fontId="34" fillId="29" borderId="0" applyNumberFormat="0" applyBorder="0" applyAlignment="0" applyProtection="0">
      <alignment vertical="center"/>
    </xf>
    <xf numFmtId="0" fontId="8" fillId="0" borderId="0"/>
    <xf numFmtId="0" fontId="32" fillId="27" borderId="0" applyNumberFormat="0" applyBorder="0" applyAlignment="0" applyProtection="0">
      <alignment vertical="center"/>
    </xf>
    <xf numFmtId="0" fontId="8" fillId="0" borderId="0"/>
    <xf numFmtId="0" fontId="36" fillId="0" borderId="20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8" fillId="0" borderId="0"/>
    <xf numFmtId="0" fontId="32" fillId="10" borderId="0" applyNumberFormat="0" applyBorder="0" applyAlignment="0" applyProtection="0">
      <alignment vertical="center"/>
    </xf>
    <xf numFmtId="0" fontId="8" fillId="0" borderId="0"/>
    <xf numFmtId="0" fontId="34" fillId="2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8" fillId="0" borderId="0"/>
    <xf numFmtId="0" fontId="34" fillId="7" borderId="0" applyNumberFormat="0" applyBorder="0" applyAlignment="0" applyProtection="0">
      <alignment vertical="center"/>
    </xf>
    <xf numFmtId="0" fontId="8" fillId="0" borderId="0"/>
    <xf numFmtId="0" fontId="34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8" fillId="0" borderId="0"/>
    <xf numFmtId="0" fontId="32" fillId="6" borderId="0" applyNumberFormat="0" applyBorder="0" applyAlignment="0" applyProtection="0">
      <alignment vertical="center"/>
    </xf>
    <xf numFmtId="0" fontId="8" fillId="0" borderId="0"/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2" fillId="0" borderId="2" xfId="100" applyNumberFormat="1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2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2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82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I9" sqref="I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9.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3" t="s">
        <v>50</v>
      </c>
      <c r="B19" s="73"/>
      <c r="C19" s="73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11.625" style="74" customWidth="1"/>
    <col min="4" max="4" width="11.375" style="74" customWidth="1"/>
    <col min="5" max="5" width="17.25" style="74" customWidth="1"/>
    <col min="6" max="6" width="5.25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( 10)字( 2026)第( 0058)号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生活饮用水（农饮水）</v>
      </c>
      <c r="D4" s="21"/>
      <c r="E4" s="21" t="s">
        <v>33</v>
      </c>
      <c r="F4" s="22" t="str">
        <f>'2'!C8</f>
        <v>W260109C16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0.46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7.98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0.74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1.06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>
        <v>3</v>
      </c>
      <c r="E15" s="38">
        <v>100</v>
      </c>
      <c r="F15" s="41" t="s">
        <v>84</v>
      </c>
      <c r="G15" s="42"/>
    </row>
    <row r="16" ht="24" customHeight="1" spans="1:7">
      <c r="A16" s="83">
        <v>9</v>
      </c>
      <c r="B16" s="87" t="s">
        <v>85</v>
      </c>
      <c r="C16" s="38" t="s">
        <v>86</v>
      </c>
      <c r="D16" s="90">
        <v>0</v>
      </c>
      <c r="E16" s="87" t="s">
        <v>87</v>
      </c>
      <c r="F16" s="41" t="s">
        <v>88</v>
      </c>
      <c r="G16" s="42"/>
    </row>
    <row r="17" ht="24" customHeight="1" spans="1:7">
      <c r="A17" s="83">
        <v>10</v>
      </c>
      <c r="B17" s="87" t="s">
        <v>89</v>
      </c>
      <c r="C17" s="38" t="s">
        <v>86</v>
      </c>
      <c r="D17" s="90">
        <v>0</v>
      </c>
      <c r="E17" s="87" t="s">
        <v>87</v>
      </c>
      <c r="F17" s="41" t="s">
        <v>90</v>
      </c>
      <c r="G17" s="42"/>
    </row>
    <row r="18" ht="24" customHeight="1" spans="1:7">
      <c r="A18" s="83">
        <v>11</v>
      </c>
      <c r="B18" s="38" t="s">
        <v>91</v>
      </c>
      <c r="C18" s="38" t="s">
        <v>61</v>
      </c>
      <c r="D18" s="44">
        <v>0.178</v>
      </c>
      <c r="E18" s="91">
        <v>1</v>
      </c>
      <c r="F18" s="41" t="s">
        <v>92</v>
      </c>
      <c r="G18" s="42"/>
    </row>
    <row r="19" ht="24" customHeight="1" spans="1:7">
      <c r="A19" s="83">
        <v>12</v>
      </c>
      <c r="B19" s="38" t="s">
        <v>93</v>
      </c>
      <c r="C19" s="38" t="s">
        <v>61</v>
      </c>
      <c r="D19" s="92">
        <v>34</v>
      </c>
      <c r="E19" s="38">
        <v>250</v>
      </c>
      <c r="F19" s="41" t="s">
        <v>94</v>
      </c>
      <c r="G19" s="42"/>
    </row>
    <row r="20" ht="24" customHeight="1" spans="1:7">
      <c r="A20" s="83">
        <v>13</v>
      </c>
      <c r="B20" s="38" t="s">
        <v>95</v>
      </c>
      <c r="C20" s="38" t="s">
        <v>61</v>
      </c>
      <c r="D20" s="93">
        <v>1.33</v>
      </c>
      <c r="E20" s="38">
        <v>10</v>
      </c>
      <c r="F20" s="41" t="s">
        <v>96</v>
      </c>
      <c r="G20" s="42"/>
    </row>
    <row r="21" ht="24" customHeight="1" spans="1:7">
      <c r="A21" s="83">
        <v>14</v>
      </c>
      <c r="B21" s="38" t="s">
        <v>97</v>
      </c>
      <c r="C21" s="38" t="s">
        <v>61</v>
      </c>
      <c r="D21" s="92">
        <v>44.5</v>
      </c>
      <c r="E21" s="38">
        <v>250</v>
      </c>
      <c r="F21" s="41" t="s">
        <v>98</v>
      </c>
      <c r="G21" s="42"/>
    </row>
    <row r="22" ht="24" customHeight="1" spans="1:7">
      <c r="A22" s="83">
        <v>15</v>
      </c>
      <c r="B22" s="94" t="s">
        <v>99</v>
      </c>
      <c r="C22" s="95" t="s">
        <v>61</v>
      </c>
      <c r="D22" s="96" t="s">
        <v>100</v>
      </c>
      <c r="E22" s="95">
        <v>0.7</v>
      </c>
      <c r="F22" s="97" t="s">
        <v>101</v>
      </c>
      <c r="G22" s="98"/>
    </row>
    <row r="23" ht="24" customHeight="1" spans="1:7">
      <c r="A23" s="83">
        <v>16</v>
      </c>
      <c r="B23" s="94" t="s">
        <v>102</v>
      </c>
      <c r="C23" s="95" t="s">
        <v>61</v>
      </c>
      <c r="D23" s="99" t="s">
        <v>103</v>
      </c>
      <c r="E23" s="95">
        <v>0.7</v>
      </c>
      <c r="F23" s="97" t="s">
        <v>101</v>
      </c>
      <c r="G23" s="98"/>
    </row>
    <row r="24" ht="24" customHeight="1" spans="1:7">
      <c r="A24" s="83">
        <v>17</v>
      </c>
      <c r="B24" s="55" t="s">
        <v>104</v>
      </c>
      <c r="C24" s="55" t="s">
        <v>61</v>
      </c>
      <c r="D24" s="99" t="s">
        <v>105</v>
      </c>
      <c r="E24" s="55">
        <v>0.05</v>
      </c>
      <c r="F24" s="100" t="s">
        <v>106</v>
      </c>
      <c r="G24" s="101"/>
    </row>
    <row r="25" ht="24" customHeight="1" spans="1:7">
      <c r="A25" s="83">
        <v>18</v>
      </c>
      <c r="B25" s="55" t="s">
        <v>107</v>
      </c>
      <c r="C25" s="55" t="s">
        <v>61</v>
      </c>
      <c r="D25" s="99" t="s">
        <v>108</v>
      </c>
      <c r="E25" s="55">
        <v>0.1</v>
      </c>
      <c r="F25" s="100" t="s">
        <v>109</v>
      </c>
      <c r="G25" s="101"/>
    </row>
    <row r="26" ht="24" customHeight="1" spans="1:7">
      <c r="A26" s="83">
        <v>19</v>
      </c>
      <c r="B26" s="102" t="s">
        <v>110</v>
      </c>
      <c r="C26" s="38" t="s">
        <v>61</v>
      </c>
      <c r="D26" s="99" t="s">
        <v>111</v>
      </c>
      <c r="E26" s="40">
        <v>1</v>
      </c>
      <c r="F26" s="41" t="s">
        <v>112</v>
      </c>
      <c r="G26" s="42"/>
    </row>
    <row r="27" ht="24" customHeight="1" spans="1:7">
      <c r="A27" s="83">
        <v>20</v>
      </c>
      <c r="B27" s="37" t="s">
        <v>113</v>
      </c>
      <c r="C27" s="38" t="s">
        <v>61</v>
      </c>
      <c r="D27" s="96" t="s">
        <v>114</v>
      </c>
      <c r="E27" s="37">
        <v>0.3</v>
      </c>
      <c r="F27" s="41" t="s">
        <v>115</v>
      </c>
      <c r="G27" s="42"/>
    </row>
    <row r="28" ht="24" customHeight="1" spans="1:7">
      <c r="A28" s="83">
        <v>21</v>
      </c>
      <c r="B28" s="37" t="s">
        <v>116</v>
      </c>
      <c r="C28" s="38" t="s">
        <v>61</v>
      </c>
      <c r="D28" s="99" t="s">
        <v>111</v>
      </c>
      <c r="E28" s="37">
        <v>0.1</v>
      </c>
      <c r="F28" s="41" t="s">
        <v>117</v>
      </c>
      <c r="G28" s="42"/>
    </row>
    <row r="29" ht="24" customHeight="1" spans="1:7">
      <c r="A29" s="83">
        <v>22</v>
      </c>
      <c r="B29" s="103" t="s">
        <v>118</v>
      </c>
      <c r="C29" s="46" t="s">
        <v>61</v>
      </c>
      <c r="D29" s="99" t="s">
        <v>119</v>
      </c>
      <c r="E29" s="103">
        <v>0.01</v>
      </c>
      <c r="F29" s="41" t="s">
        <v>120</v>
      </c>
      <c r="G29" s="42"/>
    </row>
    <row r="30" spans="7:7">
      <c r="G30" s="104"/>
    </row>
    <row r="31" ht="15" spans="1:7">
      <c r="A31" s="73" t="s">
        <v>121</v>
      </c>
      <c r="B31" s="73"/>
      <c r="C31" s="73"/>
      <c r="D31" s="73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L25" sqref="L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( 10)字( 2026)第( 0058)号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生活饮用水（农饮水）</v>
      </c>
      <c r="D4" s="20"/>
      <c r="E4" s="21" t="s">
        <v>33</v>
      </c>
      <c r="F4" s="22" t="str">
        <f>'3'!F4</f>
        <v>W260109C16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0.15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153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226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0.0131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0.00621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3" t="s">
        <v>162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4">
        <v>0.32</v>
      </c>
      <c r="E26" s="65" t="s">
        <v>166</v>
      </c>
      <c r="F26" s="61" t="s">
        <v>157</v>
      </c>
      <c r="G26" s="62"/>
    </row>
    <row r="27" ht="24" customHeight="1" spans="1:7">
      <c r="A27" s="36">
        <v>42</v>
      </c>
      <c r="B27" s="66" t="s">
        <v>167</v>
      </c>
      <c r="C27" s="66" t="s">
        <v>168</v>
      </c>
      <c r="D27" s="67">
        <v>0.045</v>
      </c>
      <c r="E27" s="66" t="s">
        <v>169</v>
      </c>
      <c r="F27" s="68" t="s">
        <v>170</v>
      </c>
      <c r="G27" s="68"/>
    </row>
    <row r="28" ht="24" customHeight="1" spans="1:7">
      <c r="A28" s="36">
        <v>43</v>
      </c>
      <c r="B28" s="66" t="s">
        <v>171</v>
      </c>
      <c r="C28" s="66" t="s">
        <v>168</v>
      </c>
      <c r="D28" s="67">
        <v>0.207</v>
      </c>
      <c r="E28" s="66" t="s">
        <v>172</v>
      </c>
      <c r="F28" s="68" t="s">
        <v>173</v>
      </c>
      <c r="G28" s="68"/>
    </row>
    <row r="29" ht="24" customHeight="1" spans="1:7">
      <c r="A29" s="69" t="s">
        <v>174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121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E2" sqref="E2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( 10)字( 2026)第( 0058)号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2026-02-03T04:40:23Z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