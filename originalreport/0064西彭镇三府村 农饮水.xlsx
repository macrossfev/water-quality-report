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<sst xmlns="http://schemas.openxmlformats.org/spreadsheetml/2006/main" count="259" uniqueCount="192">
  <si>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( 0064)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</si>
  <si>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</si>
  <si>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</si>
  <si>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</si>
  <si>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</si>
  <si>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</si>
  <si>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</si>
  <si>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生活饮用水</t>
    </r>
    <r>
      <rPr>
        <sz val="12"/>
        <color rgb="FF000000"/>
        <rFont val="宋体"/>
        <charset val="134"/>
      </rPr>
      <t>【西彭镇三府村】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</si>
  <si>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</si>
  <si>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重庆水资源产业股份有限公司西城自来水分公司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</si>
  <si>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</si>
  <si>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</si>
  <si>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</si>
  <si>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</si>
  <si>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( 0064)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</si>
  <si>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</si>
  <si>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</si>
  <si>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</si>
  <si>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</si>
  <si>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生活饮用水（农饮水）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</si>
  <si>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</si>
  <si>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</si>
  <si>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</si>
  <si>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</si>
  <si>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</si>
  <si>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</si>
  <si>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</si>
  <si>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</si>
  <si>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</si>
  <si>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</si>
  <si>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西彭镇三府村村委会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</si>
  <si>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</si>
  <si>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</si>
  <si>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</si>
  <si>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W260109C04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</si>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</sst>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_ "/>
    <numFmt numFmtId="178" formatCode="0.000_ "/>
    <numFmt numFmtId="179" formatCode="0.00000_ "/>
    <numFmt numFmtId="180" formatCode="_ \¥* #,##0.00_ ;_ \¥* \-#,##0.00_ ;_ \¥* &quot;-&quot;??_ ;_ @_ "/>
    <numFmt numFmtId="181" formatCode="0.00_ "/>
    <numFmt numFmtId="182" formatCode="0.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3" borderId="0" applyNumberFormat="0" applyBorder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6" fillId="0" borderId="0" applyNumberFormat="0" applyFill="0" applyBorder="0" applyAlignment="0" applyProtection="0">
      <alignment vertical="center"/>
    </xf>
    <xf numFmtId="0" fontId="0" fillId="25" borderId="23" applyNumberFormat="0" applyFont="0" applyAlignment="0" applyProtection="0">
      <alignment vertical="center"/>
    </xf>
    <xf numFmtId="0" fontId="8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41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42" fillId="14" borderId="21" applyNumberFormat="0" applyAlignment="0" applyProtection="0">
      <alignment vertical="center"/>
    </xf>
    <xf numFmtId="0" fontId="40" fillId="14" borderId="16" applyNumberFormat="0" applyAlignment="0" applyProtection="0">
      <alignment vertical="center"/>
    </xf>
    <xf numFmtId="0" fontId="36" fillId="11" borderId="18" applyNumberFormat="0" applyAlignment="0" applyProtection="0">
      <alignment vertical="center"/>
    </xf>
    <xf numFmtId="0" fontId="8" fillId="0" borderId="0"/>
    <xf numFmtId="0" fontId="8" fillId="0" borderId="0"/>
    <xf numFmtId="0" fontId="28" fillId="23" borderId="0" applyNumberFormat="0" applyBorder="0" applyAlignment="0" applyProtection="0">
      <alignment vertical="center"/>
    </xf>
    <xf numFmtId="0" fontId="8" fillId="0" borderId="0"/>
    <xf numFmtId="0" fontId="31" fillId="21" borderId="0" applyNumberFormat="0" applyBorder="0" applyAlignment="0" applyProtection="0">
      <alignment vertical="center"/>
    </xf>
    <xf numFmtId="0" fontId="8" fillId="0" borderId="0"/>
    <xf numFmtId="0" fontId="39" fillId="0" borderId="19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8" fillId="0" borderId="0"/>
    <xf numFmtId="0" fontId="31" fillId="20" borderId="0" applyNumberFormat="0" applyBorder="0" applyAlignment="0" applyProtection="0">
      <alignment vertical="center"/>
    </xf>
    <xf numFmtId="0" fontId="8" fillId="0" borderId="0"/>
    <xf numFmtId="0" fontId="28" fillId="1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8" fillId="0" borderId="0"/>
    <xf numFmtId="0" fontId="28" fillId="8" borderId="0" applyNumberFormat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2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7" fontId="12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3" sqref="E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G2" sqref="G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9.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44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45</v>
      </c>
      <c r="B15" s="143"/>
      <c r="C15" s="144"/>
      <c r="D15" s="145" t="s">
        <v>46</v>
      </c>
      <c r="E15" s="145"/>
      <c r="F15" s="115"/>
      <c r="G15" s="115"/>
      <c r="H15" s="115"/>
    </row>
    <row r="16" ht="69.95" customHeight="1" spans="1:8">
      <c r="A16" s="142" t="s">
        <v>47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48</v>
      </c>
      <c r="B17" s="115"/>
      <c r="C17" s="142"/>
      <c r="D17" s="115" t="s">
        <v>49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4" t="s">
        <v>50</v>
      </c>
      <c r="B19" s="74"/>
      <c r="C19" s="74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11.625" style="75" customWidth="1"/>
    <col min="4" max="4" width="11.375" style="75" customWidth="1"/>
    <col min="5" max="5" width="17.25" style="75" customWidth="1"/>
    <col min="6" max="6" width="5.25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( 10)字( 2026)第( 0064)号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生活饮用水（农饮水）</v>
      </c>
      <c r="D4" s="21"/>
      <c r="E4" s="21" t="s">
        <v>33</v>
      </c>
      <c r="F4" s="22" t="str">
        <f>'2'!C8</f>
        <v>W260109C04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0.64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52">
        <v>8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8" t="s">
        <v>67</v>
      </c>
      <c r="C10" s="88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8" t="s">
        <v>71</v>
      </c>
      <c r="C11" s="38" t="s">
        <v>72</v>
      </c>
      <c r="D11" s="52">
        <v>0.2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4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4">
        <v>7</v>
      </c>
      <c r="B14" s="46" t="s">
        <v>80</v>
      </c>
      <c r="C14" s="46" t="s">
        <v>61</v>
      </c>
      <c r="D14" s="89">
        <v>1.47</v>
      </c>
      <c r="E14" s="59">
        <v>3</v>
      </c>
      <c r="F14" s="90" t="s">
        <v>81</v>
      </c>
      <c r="G14" s="90"/>
    </row>
    <row r="15" ht="24" customHeight="1" spans="1:7">
      <c r="A15" s="84">
        <v>8</v>
      </c>
      <c r="B15" s="88" t="s">
        <v>82</v>
      </c>
      <c r="C15" s="38" t="s">
        <v>83</v>
      </c>
      <c r="D15" s="91" t="s">
        <v>84</v>
      </c>
      <c r="E15" s="38">
        <v>100</v>
      </c>
      <c r="F15" s="41" t="s">
        <v>85</v>
      </c>
      <c r="G15" s="42"/>
    </row>
    <row r="16" ht="24" customHeight="1" spans="1:7">
      <c r="A16" s="84">
        <v>9</v>
      </c>
      <c r="B16" s="88" t="s">
        <v>86</v>
      </c>
      <c r="C16" s="38" t="s">
        <v>87</v>
      </c>
      <c r="D16" s="92">
        <v>0</v>
      </c>
      <c r="E16" s="88" t="s">
        <v>88</v>
      </c>
      <c r="F16" s="41" t="s">
        <v>89</v>
      </c>
      <c r="G16" s="42"/>
    </row>
    <row r="17" ht="24" customHeight="1" spans="1:7">
      <c r="A17" s="84">
        <v>10</v>
      </c>
      <c r="B17" s="88" t="s">
        <v>90</v>
      </c>
      <c r="C17" s="38" t="s">
        <v>87</v>
      </c>
      <c r="D17" s="92">
        <v>0</v>
      </c>
      <c r="E17" s="88" t="s">
        <v>88</v>
      </c>
      <c r="F17" s="41" t="s">
        <v>91</v>
      </c>
      <c r="G17" s="42"/>
    </row>
    <row r="18" ht="24" customHeight="1" spans="1:7">
      <c r="A18" s="84">
        <v>11</v>
      </c>
      <c r="B18" s="38" t="s">
        <v>92</v>
      </c>
      <c r="C18" s="38" t="s">
        <v>61</v>
      </c>
      <c r="D18" s="44">
        <v>0.171</v>
      </c>
      <c r="E18" s="93">
        <v>1</v>
      </c>
      <c r="F18" s="41" t="s">
        <v>93</v>
      </c>
      <c r="G18" s="42"/>
    </row>
    <row r="19" ht="24" customHeight="1" spans="1:7">
      <c r="A19" s="84">
        <v>12</v>
      </c>
      <c r="B19" s="38" t="s">
        <v>94</v>
      </c>
      <c r="C19" s="38" t="s">
        <v>61</v>
      </c>
      <c r="D19" s="94">
        <v>37.7</v>
      </c>
      <c r="E19" s="38">
        <v>250</v>
      </c>
      <c r="F19" s="41" t="s">
        <v>95</v>
      </c>
      <c r="G19" s="42"/>
    </row>
    <row r="20" ht="24" customHeight="1" spans="1:7">
      <c r="A20" s="84">
        <v>13</v>
      </c>
      <c r="B20" s="38" t="s">
        <v>96</v>
      </c>
      <c r="C20" s="38" t="s">
        <v>61</v>
      </c>
      <c r="D20" s="95">
        <v>1.2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61</v>
      </c>
      <c r="D21" s="94">
        <v>46.2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6" t="s">
        <v>100</v>
      </c>
      <c r="C22" s="97" t="s">
        <v>61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4">
        <v>16</v>
      </c>
      <c r="B23" s="96" t="s">
        <v>103</v>
      </c>
      <c r="C23" s="97" t="s">
        <v>61</v>
      </c>
      <c r="D23" s="101" t="s">
        <v>104</v>
      </c>
      <c r="E23" s="97">
        <v>0.7</v>
      </c>
      <c r="F23" s="99" t="s">
        <v>102</v>
      </c>
      <c r="G23" s="100"/>
    </row>
    <row r="24" ht="24" customHeight="1" spans="1:7">
      <c r="A24" s="84">
        <v>17</v>
      </c>
      <c r="B24" s="55" t="s">
        <v>105</v>
      </c>
      <c r="C24" s="55" t="s">
        <v>61</v>
      </c>
      <c r="D24" s="101" t="s">
        <v>106</v>
      </c>
      <c r="E24" s="55">
        <v>0.05</v>
      </c>
      <c r="F24" s="102" t="s">
        <v>107</v>
      </c>
      <c r="G24" s="103"/>
    </row>
    <row r="25" ht="24" customHeight="1" spans="1:7">
      <c r="A25" s="84">
        <v>18</v>
      </c>
      <c r="B25" s="55" t="s">
        <v>108</v>
      </c>
      <c r="C25" s="55" t="s">
        <v>61</v>
      </c>
      <c r="D25" s="101" t="s">
        <v>109</v>
      </c>
      <c r="E25" s="55">
        <v>0.1</v>
      </c>
      <c r="F25" s="102" t="s">
        <v>110</v>
      </c>
      <c r="G25" s="103"/>
    </row>
    <row r="26" ht="24" customHeight="1" spans="1:7">
      <c r="A26" s="84">
        <v>19</v>
      </c>
      <c r="B26" s="104" t="s">
        <v>111</v>
      </c>
      <c r="C26" s="38" t="s">
        <v>61</v>
      </c>
      <c r="D26" s="101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61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61</v>
      </c>
      <c r="D28" s="101" t="s">
        <v>112</v>
      </c>
      <c r="E28" s="37">
        <v>0.1</v>
      </c>
      <c r="F28" s="41" t="s">
        <v>118</v>
      </c>
      <c r="G28" s="42"/>
    </row>
    <row r="29" ht="24" customHeight="1" spans="1:7">
      <c r="A29" s="84">
        <v>22</v>
      </c>
      <c r="B29" s="105" t="s">
        <v>119</v>
      </c>
      <c r="C29" s="46" t="s">
        <v>61</v>
      </c>
      <c r="D29" s="101" t="s">
        <v>120</v>
      </c>
      <c r="E29" s="105">
        <v>0.01</v>
      </c>
      <c r="F29" s="41" t="s">
        <v>121</v>
      </c>
      <c r="G29" s="42"/>
    </row>
    <row r="30" spans="7:7">
      <c r="G30" s="106"/>
    </row>
    <row r="31" ht="15" spans="1:7">
      <c r="A31" s="74" t="s">
        <v>122</v>
      </c>
      <c r="B31" s="74"/>
      <c r="C31" s="74"/>
      <c r="D31" s="74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( 10)字( 2026)第( 0064)号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生活饮用水（农饮水）</v>
      </c>
      <c r="D4" s="20"/>
      <c r="E4" s="21" t="s">
        <v>33</v>
      </c>
      <c r="F4" s="22" t="str">
        <f>'3'!F4</f>
        <v>W260109C04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0.166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162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266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0.0123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0.00554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3" t="s">
        <v>163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4">
        <v>0.3</v>
      </c>
      <c r="E26" s="65" t="s">
        <v>167</v>
      </c>
      <c r="F26" s="61" t="s">
        <v>158</v>
      </c>
      <c r="G26" s="62"/>
    </row>
    <row r="27" ht="24" customHeight="1" spans="1:7">
      <c r="A27" s="36">
        <v>42</v>
      </c>
      <c r="B27" s="66" t="s">
        <v>168</v>
      </c>
      <c r="C27" s="66" t="s">
        <v>169</v>
      </c>
      <c r="D27" s="67" t="s">
        <v>170</v>
      </c>
      <c r="E27" s="66" t="s">
        <v>171</v>
      </c>
      <c r="F27" s="68" t="s">
        <v>172</v>
      </c>
      <c r="G27" s="68"/>
    </row>
    <row r="28" ht="24" customHeight="1" spans="1:7">
      <c r="A28" s="36">
        <v>43</v>
      </c>
      <c r="B28" s="66" t="s">
        <v>173</v>
      </c>
      <c r="C28" s="66" t="s">
        <v>169</v>
      </c>
      <c r="D28" s="69">
        <v>0.073</v>
      </c>
      <c r="E28" s="66" t="s">
        <v>174</v>
      </c>
      <c r="F28" s="68" t="s">
        <v>175</v>
      </c>
      <c r="G28" s="68"/>
    </row>
    <row r="29" ht="24" customHeight="1" spans="1:7">
      <c r="A29" s="70" t="s">
        <v>176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122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D18" sqref="D18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( 10)字( 2026)第( 0064)号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