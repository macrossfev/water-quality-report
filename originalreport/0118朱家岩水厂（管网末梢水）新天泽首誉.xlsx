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<sst xmlns="http://schemas.openxmlformats.org/spreadsheetml/2006/main" count="258" uniqueCount="193">
  <si>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</si>
  <si>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</si>
  <si>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</si>
  <si>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</si>
  <si>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</si>
  <si>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</si>
  <si>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</si>
  <si>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管网末梢水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/新天泽首誉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</si>
  <si>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</si>
  <si>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</si>
  <si>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</si>
  <si>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</si>
  <si>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</si>
  <si>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</si>
  <si>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</si>
  <si>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</si>
  <si>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</si>
  <si>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</si>
  <si>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</si>
  <si>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管网末梢水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</si>
  <si>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</si>
  <si>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</si>
  <si>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</si>
  <si>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</si>
  <si>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</si>
  <si>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</si>
  <si>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</si>
  <si>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</si>
  <si>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</si>
  <si>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</si>
  <si>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新天泽首誉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</si>
  <si>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</si>
  <si>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</si>
  <si>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</si>
  <si>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W260116C02</t>
  </si>
  <si>
    <r>
      <rPr>
        <sz val="11"/>
        <color indexed="8"/>
        <rFont val="宋体"/>
        <charset val="134"/>
      </rPr>
      <t>检测日期</t>
    </r>
  </si>
  <si>
    <t>2026.01.16~01.29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</si>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</sst>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_ "/>
    <numFmt numFmtId="177" formatCode="0.0000_ "/>
    <numFmt numFmtId="178" formatCode="0.000_ "/>
    <numFmt numFmtId="179" formatCode="0.00000_ "/>
    <numFmt numFmtId="42" formatCode="_ &quot;￥&quot;* #,##0_ ;_ &quot;￥&quot;* \-#,##0_ ;_ &quot;￥&quot;* &quot;-&quot;_ ;_ @_ "/>
    <numFmt numFmtId="180" formatCode="_ \¥* #,##0.00_ ;_ \¥* \-#,##0.00_ ;_ \¥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6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8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44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8" fillId="15" borderId="20" applyNumberFormat="0" applyAlignment="0" applyProtection="0">
      <alignment vertical="center"/>
    </xf>
    <xf numFmtId="0" fontId="45" fillId="15" borderId="17" applyNumberFormat="0" applyAlignment="0" applyProtection="0">
      <alignment vertical="center"/>
    </xf>
    <xf numFmtId="0" fontId="34" fillId="9" borderId="18" applyNumberFormat="0" applyAlignment="0" applyProtection="0">
      <alignment vertical="center"/>
    </xf>
    <xf numFmtId="0" fontId="8" fillId="0" borderId="0"/>
    <xf numFmtId="0" fontId="8" fillId="0" borderId="0"/>
    <xf numFmtId="0" fontId="30" fillId="8" borderId="0" applyNumberFormat="0" applyBorder="0" applyAlignment="0" applyProtection="0">
      <alignment vertical="center"/>
    </xf>
    <xf numFmtId="0" fontId="8" fillId="0" borderId="0"/>
    <xf numFmtId="0" fontId="33" fillId="10" borderId="0" applyNumberFormat="0" applyBorder="0" applyAlignment="0" applyProtection="0">
      <alignment vertical="center"/>
    </xf>
    <xf numFmtId="0" fontId="8" fillId="0" borderId="0"/>
    <xf numFmtId="0" fontId="37" fillId="0" borderId="19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8" fillId="0" borderId="0"/>
    <xf numFmtId="0" fontId="33" fillId="14" borderId="0" applyNumberFormat="0" applyBorder="0" applyAlignment="0" applyProtection="0">
      <alignment vertical="center"/>
    </xf>
    <xf numFmtId="0" fontId="8" fillId="0" borderId="0"/>
    <xf numFmtId="0" fontId="30" fillId="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8" fillId="0" borderId="0"/>
    <xf numFmtId="0" fontId="30" fillId="19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( 10)字( 2026)第( 0118)号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管网末梢水</v>
      </c>
      <c r="D4" s="21"/>
      <c r="E4" s="21" t="s">
        <v>33</v>
      </c>
      <c r="F4" s="22" t="str">
        <f>'2'!C8</f>
        <v>W260116C02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0.31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7.54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0.16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1.53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0.174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8.95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99">
        <v>0.63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100">
        <v>30.7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( 10)字( 2026)第( 0118)号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管网末梢水</v>
      </c>
      <c r="D4" s="20"/>
      <c r="E4" s="21" t="s">
        <v>33</v>
      </c>
      <c r="F4" s="22" t="str">
        <f>'3'!F4</f>
        <v>W260116C02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>
        <v>0.125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113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140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229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0.00796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64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>
        <v>0.00276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0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5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0.18</v>
      </c>
      <c r="E26" s="66" t="s">
        <v>169</v>
      </c>
      <c r="F26" s="62" t="s">
        <v>160</v>
      </c>
      <c r="G26" s="63"/>
    </row>
    <row r="27" ht="24" customHeight="1" spans="1:7">
      <c r="A27" s="36">
        <v>42</v>
      </c>
      <c r="B27" s="67" t="s">
        <v>170</v>
      </c>
      <c r="C27" s="67" t="s">
        <v>171</v>
      </c>
      <c r="D27" s="68">
        <v>0.036</v>
      </c>
      <c r="E27" s="67" t="s">
        <v>172</v>
      </c>
      <c r="F27" s="69" t="s">
        <v>173</v>
      </c>
      <c r="G27" s="69"/>
    </row>
    <row r="28" ht="24" customHeight="1" spans="1:7">
      <c r="A28" s="36">
        <v>43</v>
      </c>
      <c r="B28" s="67" t="s">
        <v>174</v>
      </c>
      <c r="C28" s="67" t="s">
        <v>171</v>
      </c>
      <c r="D28" s="68">
        <v>0.058</v>
      </c>
      <c r="E28" s="67" t="s">
        <v>175</v>
      </c>
      <c r="F28" s="69" t="s">
        <v>176</v>
      </c>
      <c r="G28" s="69"/>
    </row>
    <row r="29" ht="24" customHeight="1" spans="1:7">
      <c r="A29" s="70" t="s">
        <v>177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( 10)字( 2026)第( 0118)号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