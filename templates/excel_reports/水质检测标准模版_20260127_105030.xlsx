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7515" activeTab="4"/>
  </bookViews>
  <sheets>
    <sheet name="出 1" sheetId="1" r:id="rId1"/>
    <sheet name="出2" sheetId="2" r:id="rId2"/>
    <sheet name="出3" sheetId="3" r:id="rId3"/>
    <sheet name="出4" sheetId="4" r:id="rId4"/>
    <sheet name="出5" sheetId="5" r:id="rId5"/>
    <sheet name="原1" sheetId="21" r:id="rId6"/>
    <sheet name="原2" sheetId="22" r:id="rId7"/>
    <sheet name="原3" sheetId="23" r:id="rId8"/>
    <sheet name="原4" sheetId="24" r:id="rId9"/>
    <sheet name="原5" sheetId="25" r:id="rId10"/>
  </sheets>
  <definedNames>
    <definedName name="_Hlt518806961" localSheetId="4">出5!$A$8</definedName>
    <definedName name="_xlnm.Print_Area" localSheetId="0">'出 1'!$A$1:$C$23</definedName>
    <definedName name="_xlnm.Print_Area" localSheetId="2">出3!$A$1:$G$31</definedName>
    <definedName name="_xlnm.Print_Area" localSheetId="3">出4!$A$1:$G$31</definedName>
    <definedName name="_xlnm.Print_Area" localSheetId="4">出5!$A$1:$A$24</definedName>
    <definedName name="_xlnm.Print_Area" localSheetId="5">原1!$A$1:$C$23</definedName>
    <definedName name="_xlnm.Print_Area" localSheetId="6">原2!$A$1:$E$19</definedName>
    <definedName name="_xlnm.Print_Area" localSheetId="7">原3!$A$1:$G$24</definedName>
    <definedName name="_xlnm.Print_Area" localSheetId="8">原4!$A$1:$G$24</definedName>
    <definedName name="_Hlt518806961" localSheetId="9">原5!$A$8</definedName>
    <definedName name="_xlnm.Print_Area" localSheetId="9">原5!$A$1:$A$24</definedName>
  </definedNames>
  <calcPr calcId="144525"/>
</workbook>
</file>

<file path=xl/sharedStrings.xml><?xml version="1.0" encoding="utf-8"?>
<sst xmlns="http://schemas.openxmlformats.org/spreadsheetml/2006/main" count="481" uniqueCount="295">
  <si>
    <r>
      <rPr>
        <sz val="14"/>
        <color theme="1"/>
        <rFont val="Times New Roman"/>
        <charset val="134"/>
      </rPr>
      <t xml:space="preserve"> ( 06 )</t>
    </r>
    <r>
      <rPr>
        <sz val="14"/>
        <color theme="1"/>
        <rFont val="宋体"/>
        <charset val="134"/>
      </rPr>
      <t>字</t>
    </r>
    <r>
      <rPr>
        <sz val="14"/>
        <color theme="1"/>
        <rFont val="Times New Roman"/>
        <charset val="134"/>
      </rPr>
      <t>( 2025 )</t>
    </r>
    <r>
      <rPr>
        <sz val="14"/>
        <color theme="1"/>
        <rFont val="宋体"/>
        <charset val="134"/>
      </rPr>
      <t>第</t>
    </r>
    <r>
      <rPr>
        <sz val="14"/>
        <color theme="1"/>
        <rFont val="Times New Roman"/>
        <charset val="134"/>
      </rPr>
      <t>( 220 )</t>
    </r>
    <r>
      <rPr>
        <sz val="14"/>
        <color theme="1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</si>
  <si>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</si>
  <si>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</si>
  <si>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</si>
  <si>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</si>
  <si>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</si>
  <si>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</si>
  <si>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indexed="8"/>
        <rFont val="宋体"/>
        <charset val="134"/>
      </rPr>
      <t>【朱家岩水厂】</t>
    </r>
  </si>
  <si>
    <r>
      <rPr>
        <sz val="15"/>
        <color indexed="8"/>
        <rFont val="宋体"/>
        <charset val="134"/>
      </rPr>
      <t>委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托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</si>
  <si>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重庆经济技术开发区建设服务中心</t>
  </si>
  <si>
    <t>委托单位地址：</t>
  </si>
  <si>
    <r>
      <rPr>
        <sz val="14"/>
        <color theme="1"/>
        <rFont val="宋体"/>
        <charset val="134"/>
      </rPr>
      <t>重庆市南岸区江桥路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号</t>
    </r>
  </si>
  <si>
    <r>
      <rPr>
        <sz val="15"/>
        <color theme="1"/>
        <rFont val="宋体"/>
        <charset val="134"/>
      </rPr>
      <t>报告编制日期：</t>
    </r>
  </si>
  <si>
    <t>2025 年 3 月 31 日</t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</si>
  <si>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( 06 )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( 2025 )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( 220 )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</si>
  <si>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</si>
  <si>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</si>
  <si>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</si>
  <si>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</si>
  <si>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</si>
  <si>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</si>
  <si>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</si>
  <si>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</si>
  <si>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邹咏</t>
  </si>
  <si>
    <t>采样日期</t>
  </si>
  <si>
    <t>2025.03.18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</si>
  <si>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</si>
  <si>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</si>
  <si>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</si>
  <si>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</si>
  <si>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朱家岩水厂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</si>
  <si>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</si>
  <si>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</si>
  <si>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</si>
  <si>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W250318C11</t>
  </si>
  <si>
    <r>
      <rPr>
        <sz val="11"/>
        <color indexed="8"/>
        <rFont val="宋体"/>
        <charset val="134"/>
      </rPr>
      <t>检测日期</t>
    </r>
  </si>
  <si>
    <t>2025.03.18-03.28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</si>
  <si>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</si>
  <si>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</si>
  <si>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</si>
  <si>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indexed="8"/>
        <rFont val="宋体"/>
        <charset val="134"/>
      </rPr>
      <t>色度、浑浊度、</t>
    </r>
    <r>
      <rPr>
        <sz val="11"/>
        <color indexed="8"/>
        <rFont val="Times New Roman"/>
        <charset val="134"/>
      </rPr>
      <t>pH</t>
    </r>
    <r>
      <rPr>
        <sz val="11"/>
        <color indexed="8"/>
        <rFont val="宋体"/>
        <charset val="134"/>
      </rPr>
      <t>、菌落总数、氟化物、硫酸盐、铜、铁、
锰、砷、锌、铝、氰化物、溶解性总固体、三氯甲烷、
等共计</t>
    </r>
    <r>
      <rPr>
        <sz val="11"/>
        <color indexed="8"/>
        <rFont val="Times New Roman"/>
        <charset val="134"/>
      </rPr>
      <t>43</t>
    </r>
    <r>
      <rPr>
        <sz val="11"/>
        <color indexed="8"/>
        <rFont val="宋体"/>
        <charset val="134"/>
      </rPr>
      <t>项指标</t>
    </r>
  </si>
  <si>
    <t>检测结论</t>
  </si>
  <si>
    <r>
      <rPr>
        <sz val="11"/>
        <color indexed="8"/>
        <rFont val="宋体"/>
        <charset val="134"/>
      </rPr>
      <t>该水样所检</t>
    </r>
    <r>
      <rPr>
        <sz val="11"/>
        <color indexed="8"/>
        <rFont val="Times New Roman"/>
        <charset val="134"/>
      </rPr>
      <t>43</t>
    </r>
    <r>
      <rPr>
        <sz val="11"/>
        <color indexed="8"/>
        <rFont val="宋体"/>
        <charset val="134"/>
      </rPr>
      <t>项指标
均符合《生活饮用水卫生标准》</t>
    </r>
    <r>
      <rPr>
        <sz val="11"/>
        <color indexed="8"/>
        <rFont val="Times New Roman"/>
        <charset val="134"/>
      </rPr>
      <t>GB5749-2022</t>
    </r>
    <r>
      <rPr>
        <sz val="11"/>
        <color indexed="8"/>
        <rFont val="宋体"/>
        <charset val="134"/>
      </rPr>
      <t>的标准限值要求</t>
    </r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</si>
  <si>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</si>
  <si>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</si>
  <si>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</si>
  <si>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</si>
  <si>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</si>
  <si>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</si>
  <si>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</si>
  <si>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t>Form No:CSJ/CX(C版:2024)-29-04:0</t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</si>
  <si>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</si>
  <si>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</si>
  <si>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</si>
  <si>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</si>
  <si>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</si>
  <si>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</si>
  <si>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</si>
  <si>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</si>
  <si>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</si>
  <si>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</si>
  <si>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</si>
  <si>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</si>
  <si>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</si>
  <si>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</si>
  <si>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</si>
  <si>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</si>
  <si>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</si>
  <si>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</si>
  <si>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</si>
  <si>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 5750.4-2023 5.1
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</si>
  <si>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</si>
  <si>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</si>
  <si>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</si>
  <si>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</si>
  <si>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</si>
  <si>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</si>
  <si>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</si>
  <si>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</si>
  <si>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</si>
  <si>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</si>
  <si>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</si>
  <si>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</si>
  <si>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</si>
  <si>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</si>
  <si>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</si>
  <si>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</si>
  <si>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</si>
  <si>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</si>
  <si>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</si>
  <si>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</si>
  <si>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</si>
  <si>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</si>
  <si>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</si>
  <si>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</si>
  <si>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</si>
  <si>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</si>
  <si>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t>&lt;0.50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</si>
  <si>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</si>
  <si>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</si>
  <si>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</si>
  <si>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</si>
  <si>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</si>
  <si>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</si>
  <si>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</si>
  <si>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</si>
  <si>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</si>
  <si>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宋体"/>
        <charset val="134"/>
      </rPr>
      <t>《城镇供水水质标准检验方法》</t>
    </r>
    <r>
      <rPr>
        <sz val="9"/>
        <rFont val="Times New Roman"/>
        <charset val="134"/>
      </rPr>
      <t xml:space="preserve">
CJ/T 141-2018 9.8.1 </t>
    </r>
    <r>
      <rPr>
        <sz val="9"/>
        <rFont val="宋体"/>
        <charset val="134"/>
      </rPr>
      <t>离子色谱法</t>
    </r>
  </si>
  <si>
    <t>三氯乙酸</t>
  </si>
  <si>
    <t>&lt;0.030</t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</si>
  <si>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</si>
  <si>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</si>
  <si>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</si>
  <si>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</si>
  <si>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</si>
  <si>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</si>
  <si>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</si>
  <si>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</si>
  <si>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</si>
  <si>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</si>
  <si>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</si>
  <si>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</si>
  <si>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</si>
  <si>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</si>
  <si>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</si>
  <si>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</si>
  <si>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</si>
  <si>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</si>
  <si>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</si>
  <si>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</si>
  <si>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</si>
  <si>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</si>
  <si>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</si>
  <si>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</si>
  <si>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</si>
  <si>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</si>
  <si>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</si>
  <si>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</si>
  <si>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</si>
  <si>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</si>
  <si>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</si>
  <si>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</si>
  <si>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</si>
  <si>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</si>
  <si>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</si>
  <si>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</si>
  <si>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</si>
  <si>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</si>
  <si>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</si>
  <si>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</si>
  <si>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</si>
  <si>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</si>
  <si>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</si>
  <si>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</si>
  <si>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</si>
  <si>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</si>
  <si>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134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</si>
  <si>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134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</si>
  <si>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</si>
  <si>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134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</si>
  <si>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134"/>
      </rPr>
      <t>β</t>
    </r>
    <r>
      <rPr>
        <sz val="9"/>
        <rFont val="宋体"/>
        <charset val="134"/>
      </rPr>
      <t>检测法</t>
    </r>
  </si>
  <si>
    <t>三氯甲烷</t>
  </si>
  <si>
    <r>
      <rPr>
        <sz val="9"/>
        <rFont val="Times New Roman"/>
        <charset val="134"/>
      </rPr>
      <t xml:space="preserve">GB/T 5750.8-2023 </t>
    </r>
    <r>
      <rPr>
        <sz val="9"/>
        <rFont val="宋体"/>
        <charset val="134"/>
      </rPr>
      <t>附录</t>
    </r>
    <r>
      <rPr>
        <sz val="9"/>
        <rFont val="Times New Roman"/>
        <charset val="134"/>
      </rPr>
      <t>A</t>
    </r>
    <r>
      <rPr>
        <sz val="9"/>
        <rFont val="宋体"/>
        <charset val="134"/>
      </rPr>
      <t>吹扫捕集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气相色谱质谱法测定挥发性有机物</t>
    </r>
  </si>
  <si>
    <t>四氯化碳</t>
  </si>
  <si>
    <t>&lt;0.0010</t>
  </si>
  <si>
    <t>GB/T 5750.8-2023 附录A吹扫捕集
气相色谱质谱法测定挥发性有机物</t>
  </si>
  <si>
    <t>三溴甲烷</t>
  </si>
  <si>
    <t>&lt;0.0012</t>
  </si>
  <si>
    <t>一氯二溴甲烷</t>
  </si>
  <si>
    <t>二氯一溴甲烷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</si>
  <si>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</si>
  <si>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</si>
  <si>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</si>
  <si>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</si>
  <si>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</si>
  <si>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</si>
  <si>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</si>
  <si>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</t>
    </r>
  </si>
  <si>
    <t xml:space="preserve"> 　　情况。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</si>
  <si>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</si>
  <si>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</si>
  <si>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</si>
  <si>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</si>
  <si>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</si>
  <si>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</si>
  <si>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</si>
  <si>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</si>
  <si>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</si>
  <si>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</si>
  <si>
    <t xml:space="preserve"> ( 06 )字( 2025 )第( 333 )号</t>
  </si>
  <si>
    <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family val="1"/>
        <charset val="0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family val="1"/>
        <charset val="0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family val="1"/>
        <charset val="0"/>
      </rPr>
      <t xml:space="preserve"> 5 </t>
    </r>
    <r>
      <rPr>
        <sz val="14"/>
        <color indexed="8"/>
        <rFont val="宋体"/>
        <charset val="134"/>
      </rPr>
      <t>页</t>
    </r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</si>
  <si>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family val="1"/>
        <charset val="0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family val="1"/>
        <charset val="0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family val="1"/>
        <charset val="0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family val="1"/>
        <charset val="0"/>
      </rPr>
      <t xml:space="preserve">  </t>
    </r>
  </si>
  <si>
    <r>
      <t>原水</t>
    </r>
    <r>
      <rPr>
        <sz val="12"/>
        <color indexed="8"/>
        <rFont val="宋体"/>
        <charset val="134"/>
      </rPr>
      <t>【梁沱水厂/地表水】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</si>
  <si>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family val="1"/>
        <charset val="0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family val="1"/>
        <charset val="0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family val="1"/>
        <charset val="0"/>
      </rPr>
      <t xml:space="preserve">  </t>
    </r>
    <r>
      <rPr>
        <sz val="15"/>
        <color indexed="8"/>
        <rFont val="宋体"/>
        <charset val="134"/>
      </rPr>
      <t>位：</t>
    </r>
  </si>
  <si>
    <t>重庆中法供水有限公司</t>
  </si>
  <si>
    <t>被检单位地址：</t>
  </si>
  <si>
    <t>重庆市渝北区悦来镇富悦街悦来水厂</t>
  </si>
  <si>
    <t>报告编制日期：</t>
  </si>
  <si>
    <t>2025 年 10 月 30 日</t>
  </si>
  <si>
    <t>国家城市供水水质监测网重庆监测站 ( 06 )字( 2025 )第( 333 )号</t>
  </si>
  <si>
    <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family val="1"/>
        <charset val="0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family val="1"/>
        <charset val="0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family val="1"/>
        <charset val="0"/>
      </rPr>
      <t xml:space="preserve"> 5 </t>
    </r>
    <r>
      <rPr>
        <sz val="12"/>
        <color indexed="8"/>
        <rFont val="宋体"/>
        <charset val="134"/>
      </rPr>
      <t>页</t>
    </r>
  </si>
  <si>
    <t>原水(地表水)</t>
  </si>
  <si>
    <t>送检</t>
  </si>
  <si>
    <t>客户方</t>
  </si>
  <si>
    <t>送样日期</t>
  </si>
  <si>
    <t>2024.08.06</t>
  </si>
  <si>
    <t>梁沱水厂</t>
  </si>
  <si>
    <t>L240806Z34</t>
  </si>
  <si>
    <t>2024.08.06~08.15</t>
  </si>
  <si>
    <r>
      <rPr>
        <sz val="11"/>
        <color indexed="8"/>
        <rFont val="宋体"/>
        <charset val="134"/>
      </rPr>
      <t>《地表水环境质量标准》</t>
    </r>
    <r>
      <rPr>
        <sz val="11"/>
        <color indexed="8"/>
        <rFont val="Times New Roman"/>
        <family val="1"/>
        <charset val="0"/>
      </rPr>
      <t xml:space="preserve"> GB3838-2002</t>
    </r>
  </si>
  <si>
    <r>
      <rPr>
        <sz val="11"/>
        <color indexed="8"/>
        <rFont val="宋体"/>
        <charset val="134"/>
      </rPr>
      <t>水温、</t>
    </r>
    <r>
      <rPr>
        <sz val="11"/>
        <color indexed="8"/>
        <rFont val="Times New Roman"/>
        <family val="1"/>
        <charset val="0"/>
      </rPr>
      <t>pH</t>
    </r>
    <r>
      <rPr>
        <sz val="11"/>
        <color indexed="8"/>
        <rFont val="宋体"/>
        <charset val="134"/>
      </rPr>
      <t>、高锰酸盐指数、溶解氧、五日生化需氧量</t>
    </r>
    <r>
      <rPr>
        <sz val="11"/>
        <color indexed="8"/>
        <rFont val="Times New Roman"/>
        <family val="1"/>
        <charset val="0"/>
      </rPr>
      <t>(BOD</t>
    </r>
    <r>
      <rPr>
        <vertAlign val="subscript"/>
        <sz val="11"/>
        <color indexed="8"/>
        <rFont val="Times New Roman"/>
        <family val="1"/>
        <charset val="0"/>
      </rPr>
      <t>5</t>
    </r>
    <r>
      <rPr>
        <sz val="11"/>
        <color indexed="8"/>
        <rFont val="Times New Roman"/>
        <family val="1"/>
        <charset val="0"/>
      </rPr>
      <t>)</t>
    </r>
    <r>
      <rPr>
        <sz val="11"/>
        <color indexed="8"/>
        <rFont val="宋体"/>
        <charset val="134"/>
      </rPr>
      <t>、
氟化物</t>
    </r>
    <r>
      <rPr>
        <sz val="11"/>
        <color indexed="8"/>
        <rFont val="Times New Roman"/>
        <family val="1"/>
        <charset val="0"/>
      </rPr>
      <t>(</t>
    </r>
    <r>
      <rPr>
        <sz val="11"/>
        <color indexed="8"/>
        <rFont val="宋体"/>
        <charset val="134"/>
      </rPr>
      <t>以</t>
    </r>
    <r>
      <rPr>
        <sz val="11"/>
        <color indexed="8"/>
        <rFont val="Times New Roman"/>
        <family val="1"/>
        <charset val="0"/>
      </rPr>
      <t>F</t>
    </r>
    <r>
      <rPr>
        <vertAlign val="superscript"/>
        <sz val="11"/>
        <color indexed="8"/>
        <rFont val="Times New Roman"/>
        <family val="1"/>
        <charset val="0"/>
      </rPr>
      <t>-</t>
    </r>
    <r>
      <rPr>
        <sz val="11"/>
        <color indexed="8"/>
        <rFont val="宋体"/>
        <charset val="134"/>
      </rPr>
      <t>计</t>
    </r>
    <r>
      <rPr>
        <sz val="11"/>
        <color indexed="8"/>
        <rFont val="Times New Roman"/>
        <family val="1"/>
        <charset val="0"/>
      </rPr>
      <t>)</t>
    </r>
    <r>
      <rPr>
        <sz val="11"/>
        <color indexed="8"/>
        <rFont val="宋体"/>
        <charset val="134"/>
      </rPr>
      <t>、硝酸盐</t>
    </r>
    <r>
      <rPr>
        <sz val="11"/>
        <color indexed="8"/>
        <rFont val="Times New Roman"/>
        <family val="1"/>
        <charset val="0"/>
      </rPr>
      <t>(</t>
    </r>
    <r>
      <rPr>
        <sz val="11"/>
        <color indexed="8"/>
        <rFont val="宋体"/>
        <charset val="134"/>
      </rPr>
      <t>以</t>
    </r>
    <r>
      <rPr>
        <sz val="11"/>
        <color indexed="8"/>
        <rFont val="Times New Roman"/>
        <family val="1"/>
        <charset val="0"/>
      </rPr>
      <t>N</t>
    </r>
    <r>
      <rPr>
        <sz val="11"/>
        <color indexed="8"/>
        <rFont val="宋体"/>
        <charset val="134"/>
      </rPr>
      <t>计</t>
    </r>
    <r>
      <rPr>
        <sz val="11"/>
        <color indexed="8"/>
        <rFont val="Times New Roman"/>
        <family val="1"/>
        <charset val="0"/>
      </rPr>
      <t>)</t>
    </r>
    <r>
      <rPr>
        <sz val="11"/>
        <color indexed="8"/>
        <rFont val="宋体"/>
        <charset val="134"/>
      </rPr>
      <t>、铜、铁、挥发酚
等共计</t>
    </r>
    <r>
      <rPr>
        <sz val="11"/>
        <color indexed="8"/>
        <rFont val="Times New Roman"/>
        <family val="1"/>
        <charset val="0"/>
      </rPr>
      <t>29</t>
    </r>
    <r>
      <rPr>
        <sz val="11"/>
        <color indexed="8"/>
        <rFont val="宋体"/>
        <charset val="134"/>
      </rPr>
      <t>项指标</t>
    </r>
  </si>
  <si>
    <r>
      <t>Form No</t>
    </r>
    <r>
      <rPr>
        <sz val="11"/>
        <color indexed="8"/>
        <rFont val="Times New Roman"/>
        <family val="1"/>
        <charset val="0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family val="1"/>
        <charset val="0"/>
      </rPr>
      <t>:2024)-29-04:0</t>
    </r>
  </si>
  <si>
    <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family val="1"/>
        <charset val="0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family val="1"/>
        <charset val="0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family val="1"/>
        <charset val="0"/>
      </rPr>
      <t xml:space="preserve"> 5 </t>
    </r>
    <r>
      <rPr>
        <sz val="12"/>
        <color indexed="8"/>
        <rFont val="宋体"/>
        <charset val="134"/>
      </rPr>
      <t>页</t>
    </r>
  </si>
  <si>
    <t>项目</t>
  </si>
  <si>
    <t>GB3838-2002</t>
  </si>
  <si>
    <r>
      <rPr>
        <sz val="12"/>
        <rFont val="宋体"/>
        <charset val="134"/>
      </rPr>
      <t>标准限值</t>
    </r>
  </si>
  <si>
    <r>
      <rPr>
        <sz val="9"/>
        <rFont val="宋体"/>
        <charset val="134"/>
      </rPr>
      <t>水温</t>
    </r>
  </si>
  <si>
    <t>℃</t>
  </si>
  <si>
    <r>
      <rPr>
        <sz val="9"/>
        <rFont val="宋体"/>
        <charset val="134"/>
      </rPr>
      <t>人为造成的环境水温变化应限制在周平均最大温升≤</t>
    </r>
    <r>
      <rPr>
        <sz val="9"/>
        <rFont val="Times New Roman"/>
        <family val="1"/>
        <charset val="0"/>
      </rPr>
      <t xml:space="preserve">1
</t>
    </r>
    <r>
      <rPr>
        <sz val="9"/>
        <rFont val="宋体"/>
        <charset val="134"/>
      </rPr>
      <t>周平均最大温降≤</t>
    </r>
    <r>
      <rPr>
        <sz val="9"/>
        <rFont val="Times New Roman"/>
        <family val="1"/>
        <charset val="0"/>
      </rPr>
      <t>2</t>
    </r>
  </si>
  <si>
    <r>
      <rPr>
        <sz val="9"/>
        <rFont val="宋体"/>
        <charset val="134"/>
      </rPr>
      <t>《水质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 xml:space="preserve">水温的测定
温度计或颠倒温度计测定法》
</t>
    </r>
    <r>
      <rPr>
        <sz val="9"/>
        <rFont val="Times New Roman"/>
        <family val="1"/>
        <charset val="0"/>
      </rPr>
      <t>GB/T 13195-1991</t>
    </r>
  </si>
  <si>
    <r>
      <t>6</t>
    </r>
    <r>
      <rPr>
        <sz val="9"/>
        <rFont val="宋体"/>
        <charset val="134"/>
      </rPr>
      <t>～</t>
    </r>
    <r>
      <rPr>
        <sz val="9"/>
        <rFont val="Times New Roman"/>
        <family val="1"/>
        <charset val="0"/>
      </rPr>
      <t>9</t>
    </r>
  </si>
  <si>
    <r>
      <t xml:space="preserve">GB/T 5750.4-2023 8.1
</t>
    </r>
    <r>
      <rPr>
        <sz val="9"/>
        <rFont val="宋体"/>
        <charset val="134"/>
      </rPr>
      <t>玻璃电极法</t>
    </r>
  </si>
  <si>
    <t>高锰酸盐指数</t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</si>
  <si>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4(II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</si>
  <si>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t xml:space="preserve">GB/T 5750.7-2023 4.1
</t>
    </r>
    <r>
      <rPr>
        <sz val="9"/>
        <rFont val="宋体"/>
        <charset val="134"/>
      </rPr>
      <t>酸性高锰酸钾滴定法</t>
    </r>
  </si>
  <si>
    <t>溶解氧</t>
  </si>
  <si>
    <r>
      <rPr>
        <sz val="9"/>
        <rFont val="宋体"/>
        <charset val="134"/>
      </rPr>
      <t>≥</t>
    </r>
    <r>
      <rPr>
        <sz val="9"/>
        <rFont val="Times New Roman"/>
        <family val="1"/>
        <charset val="0"/>
      </rPr>
      <t>6(II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</si>
  <si>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rPr>
        <sz val="9"/>
        <rFont val="宋体"/>
        <charset val="134"/>
      </rPr>
      <t>《水质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溶解氧的测定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 xml:space="preserve">电化学探头法》
</t>
    </r>
    <r>
      <rPr>
        <sz val="9"/>
        <rFont val="Times New Roman"/>
        <family val="1"/>
        <charset val="0"/>
      </rPr>
      <t>HJ 506-2009</t>
    </r>
  </si>
  <si>
    <t>化学需氧量(COD)</t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</si>
  <si>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15(II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</si>
  <si>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rPr>
        <sz val="9"/>
        <rFont val="宋体"/>
        <charset val="134"/>
      </rPr>
      <t>《水质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化学需氧量的测定</t>
    </r>
    <r>
      <rPr>
        <sz val="9"/>
        <rFont val="Times New Roman"/>
        <family val="1"/>
        <charset val="0"/>
      </rPr>
      <t xml:space="preserve"> 
</t>
    </r>
    <r>
      <rPr>
        <sz val="9"/>
        <rFont val="宋体"/>
        <charset val="134"/>
      </rPr>
      <t>快速消解分光光度法》</t>
    </r>
    <r>
      <rPr>
        <sz val="9"/>
        <rFont val="Times New Roman"/>
        <family val="1"/>
        <charset val="0"/>
      </rPr>
      <t>HJ/T 399-2007</t>
    </r>
  </si>
  <si>
    <r>
      <rPr>
        <sz val="9"/>
        <rFont val="宋体"/>
        <charset val="134"/>
      </rPr>
      <t>五日生化需氧量</t>
    </r>
    <r>
      <rPr>
        <sz val="9"/>
        <rFont val="Times New Roman"/>
        <family val="1"/>
        <charset val="0"/>
      </rPr>
      <t>(BOD</t>
    </r>
    <r>
      <rPr>
        <vertAlign val="subscript"/>
        <sz val="9"/>
        <rFont val="Times New Roman"/>
        <family val="1"/>
        <charset val="0"/>
      </rPr>
      <t>5</t>
    </r>
    <r>
      <rPr>
        <sz val="9"/>
        <rFont val="Times New Roman"/>
        <family val="1"/>
        <charset val="0"/>
      </rPr>
      <t>)</t>
    </r>
  </si>
  <si>
    <t>&lt;2.00</t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</si>
  <si>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3(II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</si>
  <si>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rPr>
        <sz val="9"/>
        <rFont val="宋体"/>
        <charset val="134"/>
      </rPr>
      <t>《水质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五日生化需氧量</t>
    </r>
    <r>
      <rPr>
        <sz val="9"/>
        <rFont val="Times New Roman"/>
        <family val="1"/>
        <charset val="0"/>
      </rPr>
      <t>(BOD5)的测定
稀释与接种法》HJ 505-2009</t>
    </r>
  </si>
  <si>
    <t>粪大肠菌群</t>
  </si>
  <si>
    <r>
      <rPr>
        <sz val="9"/>
        <rFont val="宋体"/>
        <charset val="134"/>
      </rPr>
      <t>个</t>
    </r>
    <r>
      <rPr>
        <sz val="9"/>
        <rFont val="Times New Roman"/>
        <family val="1"/>
        <charset val="0"/>
      </rPr>
      <t>/L</t>
    </r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</si>
  <si>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2000(II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</si>
  <si>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rPr>
        <sz val="9"/>
        <rFont val="宋体"/>
        <charset val="134"/>
      </rPr>
      <t>《水质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总大肠菌群、粪大肠菌群和大肠
埃希氏菌的测定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酶底物法》</t>
    </r>
    <r>
      <rPr>
        <sz val="9"/>
        <rFont val="Times New Roman"/>
        <family val="1"/>
        <charset val="0"/>
      </rPr>
      <t xml:space="preserve"> HJ 1001-2018</t>
    </r>
  </si>
  <si>
    <r>
      <rPr>
        <sz val="9"/>
        <rFont val="宋体"/>
        <charset val="134"/>
      </rPr>
      <t>氟化物</t>
    </r>
    <r>
      <rPr>
        <sz val="9"/>
        <rFont val="Times New Roman"/>
        <family val="1"/>
        <charset val="0"/>
      </rPr>
      <t>(</t>
    </r>
    <r>
      <rPr>
        <sz val="9"/>
        <rFont val="宋体"/>
        <charset val="134"/>
      </rPr>
      <t>以</t>
    </r>
    <r>
      <rPr>
        <sz val="9"/>
        <rFont val="Times New Roman"/>
        <family val="1"/>
        <charset val="0"/>
      </rPr>
      <t>F</t>
    </r>
    <r>
      <rPr>
        <vertAlign val="superscript"/>
        <sz val="9"/>
        <rFont val="Times New Roman"/>
        <family val="1"/>
        <charset val="0"/>
      </rPr>
      <t>-计)</t>
    </r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</si>
  <si>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1.0(II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</si>
  <si>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t xml:space="preserve">GB/T 5750.5-2023 6.2
</t>
    </r>
    <r>
      <rPr>
        <sz val="9"/>
        <rFont val="宋体"/>
        <charset val="134"/>
      </rPr>
      <t>离子色谱法</t>
    </r>
  </si>
  <si>
    <r>
      <rPr>
        <sz val="9"/>
        <rFont val="宋体"/>
        <charset val="134"/>
      </rPr>
      <t>氯化物</t>
    </r>
    <r>
      <rPr>
        <sz val="9"/>
        <rFont val="Times New Roman"/>
        <family val="1"/>
        <charset val="0"/>
      </rPr>
      <t>(</t>
    </r>
    <r>
      <rPr>
        <sz val="9"/>
        <rFont val="宋体"/>
        <charset val="134"/>
      </rPr>
      <t>以</t>
    </r>
    <r>
      <rPr>
        <sz val="9"/>
        <rFont val="Times New Roman"/>
        <family val="1"/>
        <charset val="0"/>
      </rPr>
      <t>Cl</t>
    </r>
    <r>
      <rPr>
        <vertAlign val="superscript"/>
        <sz val="9"/>
        <rFont val="Times New Roman"/>
        <family val="1"/>
        <charset val="0"/>
      </rPr>
      <t>-</t>
    </r>
    <r>
      <rPr>
        <sz val="9"/>
        <rFont val="宋体"/>
        <charset val="134"/>
      </rPr>
      <t>计</t>
    </r>
    <r>
      <rPr>
        <sz val="9"/>
        <rFont val="Times New Roman"/>
        <family val="1"/>
        <charset val="0"/>
      </rPr>
      <t>)</t>
    </r>
  </si>
  <si>
    <r>
      <t xml:space="preserve">GB/T 5750.5-2023 5.2
</t>
    </r>
    <r>
      <rPr>
        <sz val="9"/>
        <rFont val="宋体"/>
        <charset val="134"/>
      </rPr>
      <t>离子色谱法</t>
    </r>
  </si>
  <si>
    <r>
      <t xml:space="preserve">GB/T 5750.5-2023 8.3
</t>
    </r>
    <r>
      <rPr>
        <sz val="9"/>
        <rFont val="宋体"/>
        <charset val="134"/>
      </rPr>
      <t>离子色谱法</t>
    </r>
  </si>
  <si>
    <r>
      <rPr>
        <sz val="9"/>
        <rFont val="宋体"/>
        <charset val="134"/>
      </rPr>
      <t>硫酸盐</t>
    </r>
    <r>
      <rPr>
        <sz val="9"/>
        <rFont val="Times New Roman"/>
        <family val="1"/>
        <charset val="0"/>
      </rPr>
      <t>(</t>
    </r>
    <r>
      <rPr>
        <sz val="9"/>
        <rFont val="宋体"/>
        <charset val="134"/>
      </rPr>
      <t>以</t>
    </r>
    <r>
      <rPr>
        <sz val="9"/>
        <rFont val="Times New Roman"/>
        <family val="1"/>
        <charset val="0"/>
      </rPr>
      <t>SO4</t>
    </r>
    <r>
      <rPr>
        <vertAlign val="superscript"/>
        <sz val="9"/>
        <rFont val="Times New Roman"/>
        <family val="1"/>
        <charset val="0"/>
      </rPr>
      <t>2-</t>
    </r>
    <r>
      <rPr>
        <sz val="9"/>
        <rFont val="宋体"/>
        <charset val="134"/>
      </rPr>
      <t>计</t>
    </r>
    <r>
      <rPr>
        <sz val="9"/>
        <rFont val="Times New Roman"/>
        <family val="1"/>
        <charset val="0"/>
      </rPr>
      <t>)</t>
    </r>
  </si>
  <si>
    <r>
      <t xml:space="preserve">GB/T 5750.5-2023 4.2
</t>
    </r>
    <r>
      <rPr>
        <sz val="9"/>
        <rFont val="宋体"/>
        <charset val="134"/>
      </rPr>
      <t>离子色谱法</t>
    </r>
  </si>
  <si>
    <r>
      <t xml:space="preserve">GB/T5750.6-2023 7.5
</t>
    </r>
    <r>
      <rPr>
        <sz val="9"/>
        <rFont val="宋体"/>
        <charset val="134"/>
      </rPr>
      <t>电感耦合等离子体发射光谱法</t>
    </r>
  </si>
  <si>
    <r>
      <t xml:space="preserve">GB/T5750.6-2023 5.3
</t>
    </r>
    <r>
      <rPr>
        <sz val="9"/>
        <rFont val="宋体"/>
        <charset val="134"/>
      </rPr>
      <t>电感耦合等离子体发射光谱法</t>
    </r>
  </si>
  <si>
    <r>
      <t xml:space="preserve">GB/T5750.6-2023 6.5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</si>
  <si>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0.05(II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</si>
  <si>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t xml:space="preserve">GB/T 5750.6-2023 9.4
</t>
    </r>
    <r>
      <rPr>
        <sz val="9"/>
        <rFont val="宋体"/>
        <charset val="134"/>
      </rPr>
      <t>电感耦合等离子体质谱法</t>
    </r>
  </si>
  <si>
    <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family val="1"/>
        <charset val="0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family val="1"/>
        <charset val="0"/>
      </rPr>
      <t>:2024)-29-05:0</t>
    </r>
  </si>
  <si>
    <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family val="1"/>
        <charset val="0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family val="1"/>
        <charset val="0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family val="1"/>
        <charset val="0"/>
      </rPr>
      <t xml:space="preserve"> 5 </t>
    </r>
    <r>
      <rPr>
        <sz val="12"/>
        <color indexed="8"/>
        <rFont val="宋体"/>
        <charset val="134"/>
      </rPr>
      <t>页</t>
    </r>
  </si>
  <si>
    <r>
      <t xml:space="preserve">GB/T5750.6-2023 8.3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</si>
  <si>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0.01(II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</si>
  <si>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t xml:space="preserve">GB/T 5750.6-2023 10.4
</t>
    </r>
    <r>
      <rPr>
        <sz val="9"/>
        <rFont val="宋体"/>
        <charset val="134"/>
      </rPr>
      <t>电感耦合等离子体质谱法</t>
    </r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</si>
  <si>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0.00005(II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</si>
  <si>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t xml:space="preserve">GB/T 5750.6-2023 11.1
</t>
    </r>
    <r>
      <rPr>
        <sz val="9"/>
        <rFont val="宋体"/>
        <charset val="134"/>
      </rPr>
      <t>原子荧光法</t>
    </r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</si>
  <si>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0.005(II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</si>
  <si>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t xml:space="preserve">GB/T5750.6-2023 12.3
</t>
    </r>
    <r>
      <rPr>
        <sz val="9"/>
        <rFont val="宋体"/>
        <charset val="134"/>
      </rPr>
      <t>电感耦合等离子体发射光谱法</t>
    </r>
  </si>
  <si>
    <r>
      <t xml:space="preserve">GB/T 5750.6-2023 14.3
</t>
    </r>
    <r>
      <rPr>
        <sz val="9"/>
        <rFont val="宋体"/>
        <charset val="134"/>
      </rPr>
      <t>电感耦合等离子体质谱法</t>
    </r>
  </si>
  <si>
    <t>阴离子表面活性剂</t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</si>
  <si>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0.2(II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</si>
  <si>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family val="1"/>
        <charset val="0"/>
      </rPr>
      <t>CJ/T 141-2018 5.5.2</t>
    </r>
    <r>
      <rPr>
        <sz val="9"/>
        <rFont val="宋体"/>
        <charset val="134"/>
      </rPr>
      <t>流动注射法</t>
    </r>
  </si>
  <si>
    <t>挥发酚</t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</si>
  <si>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0.002(II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</si>
  <si>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family val="1"/>
        <charset val="0"/>
      </rPr>
      <t>CJ/T 141-2018 5.4.1</t>
    </r>
    <r>
      <rPr>
        <sz val="9"/>
        <rFont val="宋体"/>
        <charset val="134"/>
      </rPr>
      <t>连续流动法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</si>
  <si>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family val="1"/>
        <charset val="0"/>
      </rPr>
      <t>CJ/T 141-2018 5.2.1</t>
    </r>
    <r>
      <rPr>
        <sz val="9"/>
        <rFont val="宋体"/>
        <charset val="134"/>
      </rPr>
      <t>连续流动法</t>
    </r>
  </si>
  <si>
    <r>
      <t xml:space="preserve">GB/T 5750.6-2023 13.1
</t>
    </r>
    <r>
      <rPr>
        <sz val="9"/>
        <rFont val="宋体"/>
        <charset val="134"/>
      </rPr>
      <t>二苯碳酰二肼分光光度法</t>
    </r>
  </si>
  <si>
    <t>石油类</t>
  </si>
  <si>
    <t>&lt;0.04</t>
  </si>
  <si>
    <r>
      <rPr>
        <sz val="9"/>
        <rFont val="宋体"/>
        <charset val="134"/>
      </rPr>
      <t>《水质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石油类的测定
紫外分光光度法</t>
    </r>
    <r>
      <rPr>
        <sz val="9"/>
        <rFont val="Times New Roman"/>
        <family val="1"/>
        <charset val="0"/>
      </rPr>
      <t>(</t>
    </r>
    <r>
      <rPr>
        <sz val="9"/>
        <rFont val="宋体"/>
        <charset val="134"/>
      </rPr>
      <t>试行</t>
    </r>
    <r>
      <rPr>
        <sz val="9"/>
        <rFont val="Times New Roman"/>
        <family val="1"/>
        <charset val="0"/>
      </rPr>
      <t>)</t>
    </r>
    <r>
      <rPr>
        <sz val="9"/>
        <rFont val="宋体"/>
        <charset val="134"/>
      </rPr>
      <t>》</t>
    </r>
    <r>
      <rPr>
        <sz val="9"/>
        <rFont val="Times New Roman"/>
        <family val="1"/>
        <charset val="0"/>
      </rPr>
      <t>HJ 970-2018</t>
    </r>
  </si>
  <si>
    <t>硫化物</t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</si>
  <si>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0.1(II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</si>
  <si>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family val="1"/>
        <charset val="0"/>
      </rPr>
      <t>CJ/T 141-2018 5.3.2</t>
    </r>
    <r>
      <rPr>
        <sz val="9"/>
        <rFont val="宋体"/>
        <charset val="134"/>
      </rPr>
      <t>流动注射法</t>
    </r>
  </si>
  <si>
    <t>总磷(以P计)</t>
  </si>
  <si>
    <r>
      <rPr>
        <sz val="9"/>
        <rFont val="宋体"/>
        <charset val="134"/>
      </rPr>
      <t>《水质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总磷的测定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 xml:space="preserve">钼酸铵分光光度法》
</t>
    </r>
    <r>
      <rPr>
        <sz val="9"/>
        <rFont val="Times New Roman"/>
        <family val="1"/>
        <charset val="0"/>
      </rPr>
      <t xml:space="preserve">GB/T 11893-1989 </t>
    </r>
  </si>
  <si>
    <t>总氮(以N计)</t>
  </si>
  <si>
    <r>
      <rPr>
        <sz val="9"/>
        <rFont val="宋体"/>
        <charset val="134"/>
      </rPr>
      <t>≤</t>
    </r>
    <r>
      <rPr>
        <sz val="9"/>
        <rFont val="Times New Roman"/>
        <family val="1"/>
        <charset val="0"/>
      </rPr>
      <t>0.5(II</t>
    </r>
    <r>
      <rPr>
        <sz val="9"/>
        <rFont val="宋体"/>
        <charset val="134"/>
      </rPr>
      <t>类</t>
    </r>
    <r>
      <rPr>
        <sz val="9"/>
        <rFont val="Times New Roman"/>
        <family val="1"/>
        <charset val="0"/>
      </rPr>
      <t>)</t>
    </r>
  </si>
  <si>
    <r>
      <rPr>
        <sz val="9"/>
        <rFont val="宋体"/>
        <charset val="134"/>
      </rPr>
      <t>《水质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总氮的测定</t>
    </r>
    <r>
      <rPr>
        <sz val="9"/>
        <rFont val="Times New Roman"/>
        <family val="1"/>
        <charset val="0"/>
      </rPr>
      <t xml:space="preserve"> </t>
    </r>
    <r>
      <rPr>
        <sz val="9"/>
        <rFont val="宋体"/>
        <charset val="134"/>
      </rPr>
      <t>碱性过硫酸钾
消解紫外分光光度法》</t>
    </r>
    <r>
      <rPr>
        <sz val="9"/>
        <rFont val="Times New Roman"/>
        <family val="1"/>
        <charset val="0"/>
      </rPr>
      <t>HJ 636-2012</t>
    </r>
  </si>
  <si>
    <r>
      <rPr>
        <sz val="9"/>
        <rFont val="宋体"/>
        <charset val="134"/>
      </rPr>
      <t>氨氮</t>
    </r>
    <r>
      <rPr>
        <sz val="9"/>
        <rFont val="Times New Roman"/>
        <family val="1"/>
        <charset val="0"/>
      </rPr>
      <t>(NH</t>
    </r>
    <r>
      <rPr>
        <vertAlign val="subscript"/>
        <sz val="9"/>
        <rFont val="Times New Roman"/>
        <family val="1"/>
        <charset val="0"/>
      </rPr>
      <t>3</t>
    </r>
    <r>
      <rPr>
        <sz val="9"/>
        <rFont val="Times New Roman"/>
        <family val="1"/>
        <charset val="0"/>
      </rPr>
      <t>-N)</t>
    </r>
  </si>
  <si>
    <r>
      <t xml:space="preserve">GB/T 5750.5-2023 11.4
</t>
    </r>
    <r>
      <rPr>
        <sz val="9"/>
        <rFont val="宋体"/>
        <charset val="134"/>
      </rPr>
      <t>流动注射法</t>
    </r>
  </si>
  <si>
    <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family val="1"/>
        <charset val="0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family val="1"/>
        <charset val="0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family val="1"/>
        <charset val="0"/>
      </rPr>
      <t xml:space="preserve"> 5 </t>
    </r>
    <r>
      <rPr>
        <sz val="14"/>
        <color indexed="8"/>
        <rFont val="宋体"/>
        <charset val="134"/>
      </rPr>
      <t>页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</si>
  <si>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  <charset val="0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</si>
  <si>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  <charset val="0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</si>
  <si>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  <charset val="0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</si>
  <si>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  <charset val="0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</si>
  <si>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  <charset val="0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</si>
  <si>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  <charset val="0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</si>
  <si>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  <charset val="0"/>
      </rPr>
      <t>7.</t>
    </r>
    <r>
      <rPr>
        <sz val="14"/>
        <color indexed="8"/>
        <rFont val="宋体"/>
        <charset val="134"/>
      </rPr>
      <t>当检测项目未取得资质，仅为内部参考、不具社会证明作用时，不加盖</t>
    </r>
  </si>
  <si>
    <r>
      <rPr>
        <sz val="14"/>
        <color theme="1"/>
        <rFont val="Times New Roman"/>
        <family val="1"/>
        <charset val="0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family val="1"/>
        <charset val="0"/>
      </rPr>
      <t>CMA</t>
    </r>
    <r>
      <rPr>
        <sz val="14"/>
        <color indexed="8"/>
        <rFont val="宋体"/>
        <charset val="134"/>
      </rPr>
      <t>）。</t>
    </r>
  </si>
  <si>
    <r>
      <rPr>
        <sz val="15"/>
        <color indexed="8"/>
        <rFont val="Times New Roman"/>
        <family val="1"/>
        <charset val="0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family val="1"/>
        <charset val="0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</si>
  <si>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family val="1"/>
        <charset val="0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family val="1"/>
        <charset val="0"/>
      </rPr>
      <t>400060</t>
    </r>
  </si>
  <si>
    <r>
      <rPr>
        <sz val="15"/>
        <color indexed="8"/>
        <rFont val="Times New Roman"/>
        <family val="1"/>
        <charset val="0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family val="1"/>
        <charset val="0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</si>
</sst>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_ "/>
    <numFmt numFmtId="180" formatCode="0.0000_ "/>
    <numFmt numFmtId="181" formatCode="0_ "/>
    <numFmt numFmtId="182" formatCode="0.00000_ "/>
  </numFmts>
  <fonts count="69">
    <font>
      <sz val="11"/>
      <color theme="1"/>
      <name val="宋体"/>
      <charset val="134"/>
      <scheme val="minor"/>
    </font>
    <font>
      <sz val="14"/>
      <color theme="1"/>
      <name val="Times New Roman"/>
      <family val="1"/>
      <charset val="0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family val="1"/>
      <charset val="0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sz val="12"/>
      <color theme="1"/>
      <name val="Times New Roman"/>
      <family val="1"/>
      <charset val="0"/>
    </font>
    <font>
      <b/>
      <sz val="24"/>
      <name val="宋体"/>
      <charset val="134"/>
    </font>
    <font>
      <sz val="12"/>
      <color theme="1"/>
      <name val="宋体"/>
      <charset val="134"/>
      <scheme val="minor"/>
    </font>
    <font>
      <sz val="12"/>
      <name val="Times New Roman"/>
      <family val="1"/>
      <charset val="0"/>
    </font>
    <font>
      <sz val="9"/>
      <name val="Times New Roman"/>
      <family val="1"/>
      <charset val="0"/>
    </font>
    <font>
      <sz val="9"/>
      <name val="宋体"/>
      <charset val="134"/>
    </font>
    <font>
      <sz val="10"/>
      <name val="Times New Roman"/>
      <family val="1"/>
      <charset val="0"/>
    </font>
    <font>
      <sz val="11"/>
      <color theme="1"/>
      <name val="Times New Roman"/>
      <family val="1"/>
      <charset val="0"/>
    </font>
    <font>
      <sz val="10"/>
      <name val="宋体"/>
      <charset val="134"/>
    </font>
    <font>
      <sz val="12"/>
      <color indexed="8"/>
      <name val="Times New Roman"/>
      <family val="1"/>
      <charset val="0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family val="1"/>
      <charset val="0"/>
    </font>
    <font>
      <sz val="11"/>
      <color indexed="8"/>
      <name val="Times New Roman"/>
      <family val="1"/>
      <charset val="0"/>
    </font>
    <font>
      <b/>
      <sz val="36"/>
      <color theme="1"/>
      <name val="黑体"/>
      <family val="3"/>
      <charset val="134"/>
    </font>
    <font>
      <sz val="15"/>
      <color indexed="8"/>
      <name val="宋体"/>
      <charset val="134"/>
    </font>
    <font>
      <sz val="14"/>
      <color theme="1"/>
      <name val="宋体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b/>
      <sz val="36"/>
      <color theme="1"/>
      <name val="黑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family val="1"/>
      <charset val="0"/>
    </font>
    <font>
      <sz val="12"/>
      <color indexed="8"/>
      <name val="宋体"/>
      <charset val="134"/>
    </font>
    <font>
      <vertAlign val="subscript"/>
      <sz val="9"/>
      <name val="Times New Roman"/>
      <family val="1"/>
      <charset val="0"/>
    </font>
    <font>
      <vertAlign val="superscript"/>
      <sz val="9"/>
      <name val="Times New Roman"/>
      <family val="1"/>
      <charset val="0"/>
    </font>
    <font>
      <vertAlign val="subscript"/>
      <sz val="11"/>
      <color indexed="8"/>
      <name val="Times New Roman"/>
      <family val="1"/>
      <charset val="0"/>
    </font>
    <font>
      <vertAlign val="superscript"/>
      <sz val="11"/>
      <color indexed="8"/>
      <name val="Times New Roman"/>
      <family val="1"/>
      <charset val="0"/>
    </font>
    <font>
      <sz val="15"/>
      <color indexed="8"/>
      <name val="Times New Roman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宋体"/>
      <charset val="134"/>
    </font>
    <font>
      <sz val="12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94">
    <xf numFmtId="0" fontId="0" fillId="0" borderId="0">
      <alignment vertical="center"/>
    </xf>
    <xf numFmtId="0" fontId="7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0" borderId="0"/>
    <xf numFmtId="0" fontId="39" fillId="9" borderId="0" applyNumberFormat="0" applyBorder="0" applyAlignment="0" applyProtection="0">
      <alignment vertical="center"/>
    </xf>
    <xf numFmtId="0" fontId="41" fillId="10" borderId="16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41" fontId="0" fillId="0" borderId="0" applyFont="0" applyFill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" fillId="0" borderId="0"/>
    <xf numFmtId="9" fontId="0" fillId="0" borderId="0" applyFont="0" applyFill="0" applyBorder="0" applyAlignment="0" applyProtection="0">
      <alignment vertical="center"/>
    </xf>
    <xf numFmtId="0" fontId="7" fillId="0" borderId="0"/>
    <xf numFmtId="0" fontId="44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7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7" fillId="0" borderId="0"/>
    <xf numFmtId="0" fontId="52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48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40" fillId="14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53" fillId="22" borderId="22" applyNumberFormat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56" fillId="27" borderId="23" applyNumberFormat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7" fillId="0" borderId="0"/>
    <xf numFmtId="0" fontId="39" fillId="28" borderId="0" applyNumberFormat="0" applyBorder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7" fillId="0" borderId="0"/>
    <xf numFmtId="0" fontId="39" fillId="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40" fillId="18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7" fillId="0" borderId="0"/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7" fillId="0" borderId="0"/>
    <xf numFmtId="0" fontId="40" fillId="3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7" fillId="0" borderId="0">
      <alignment vertical="center"/>
    </xf>
    <xf numFmtId="178" fontId="7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292">
    <xf numFmtId="0" fontId="0" fillId="0" borderId="0" xfId="0">
      <alignment vertical="center"/>
    </xf>
    <xf numFmtId="0" fontId="0" fillId="0" borderId="0" xfId="31" applyFill="1" applyBorder="1" applyAlignment="1">
      <alignment vertical="center"/>
    </xf>
    <xf numFmtId="0" fontId="1" fillId="0" borderId="0" xfId="31" applyFont="1" applyFill="1" applyBorder="1" applyAlignment="1">
      <alignment horizontal="right" vertical="center"/>
    </xf>
    <xf numFmtId="0" fontId="1" fillId="0" borderId="0" xfId="31" applyFont="1" applyFill="1" applyBorder="1" applyAlignment="1">
      <alignment horizontal="right" vertical="top"/>
    </xf>
    <xf numFmtId="0" fontId="2" fillId="0" borderId="0" xfId="175" applyFont="1" applyFill="1" applyBorder="1" applyAlignment="1">
      <alignment horizontal="center" vertical="center"/>
    </xf>
    <xf numFmtId="0" fontId="1" fillId="0" borderId="0" xfId="175" applyFont="1" applyFill="1" applyBorder="1" applyAlignment="1">
      <alignment horizontal="left" vertical="center"/>
    </xf>
    <xf numFmtId="0" fontId="0" fillId="0" borderId="0" xfId="31" applyFont="1" applyFill="1" applyBorder="1" applyAlignment="1">
      <alignment vertical="center"/>
    </xf>
    <xf numFmtId="0" fontId="1" fillId="0" borderId="0" xfId="175" applyFont="1" applyFill="1" applyBorder="1" applyAlignment="1">
      <alignment vertical="center"/>
    </xf>
    <xf numFmtId="0" fontId="3" fillId="0" borderId="0" xfId="175" applyFont="1" applyFill="1" applyBorder="1" applyAlignment="1">
      <alignment horizontal="left" vertical="center"/>
    </xf>
    <xf numFmtId="0" fontId="4" fillId="0" borderId="0" xfId="175" applyFont="1" applyFill="1" applyBorder="1" applyAlignment="1">
      <alignment horizontal="justify" vertical="top"/>
    </xf>
    <xf numFmtId="0" fontId="1" fillId="0" borderId="0" xfId="175" applyFont="1" applyFill="1" applyBorder="1" applyAlignment="1">
      <alignment horizontal="justify" vertical="center"/>
    </xf>
    <xf numFmtId="0" fontId="1" fillId="0" borderId="0" xfId="31" applyFont="1" applyFill="1" applyBorder="1" applyAlignment="1">
      <alignment vertical="center"/>
    </xf>
    <xf numFmtId="0" fontId="3" fillId="0" borderId="0" xfId="175" applyFont="1" applyFill="1" applyBorder="1" applyAlignment="1">
      <alignment horizontal="justify" vertical="center"/>
    </xf>
    <xf numFmtId="0" fontId="1" fillId="0" borderId="0" xfId="175" applyFont="1" applyFill="1" applyBorder="1" applyAlignment="1">
      <alignment horizontal="left" vertical="top"/>
    </xf>
    <xf numFmtId="0" fontId="5" fillId="0" borderId="0" xfId="175" applyFont="1" applyFill="1" applyBorder="1" applyAlignment="1">
      <alignment vertical="center"/>
    </xf>
    <xf numFmtId="0" fontId="6" fillId="0" borderId="0" xfId="175" applyFont="1" applyFill="1" applyBorder="1" applyAlignment="1">
      <alignment horizontal="left" vertical="center" indent="1"/>
    </xf>
    <xf numFmtId="0" fontId="7" fillId="0" borderId="0" xfId="120" applyFill="1" applyBorder="1" applyAlignment="1">
      <alignment vertical="center"/>
    </xf>
    <xf numFmtId="0" fontId="7" fillId="0" borderId="0" xfId="120" applyFill="1" applyBorder="1" applyAlignment="1"/>
    <xf numFmtId="0" fontId="8" fillId="0" borderId="0" xfId="31" applyFont="1" applyFill="1" applyBorder="1" applyAlignment="1">
      <alignment horizontal="left" vertical="center"/>
    </xf>
    <xf numFmtId="0" fontId="8" fillId="0" borderId="0" xfId="31" applyFont="1" applyFill="1" applyBorder="1" applyAlignment="1">
      <alignment horizontal="right" vertical="center"/>
    </xf>
    <xf numFmtId="0" fontId="9" fillId="0" borderId="0" xfId="120" applyFont="1" applyFill="1" applyBorder="1" applyAlignment="1">
      <alignment horizontal="center" vertical="center"/>
    </xf>
    <xf numFmtId="0" fontId="7" fillId="0" borderId="1" xfId="120" applyFont="1" applyFill="1" applyBorder="1" applyAlignment="1">
      <alignment horizontal="center" vertical="center"/>
    </xf>
    <xf numFmtId="0" fontId="7" fillId="0" borderId="0" xfId="120" applyFont="1" applyFill="1" applyBorder="1" applyAlignment="1">
      <alignment horizontal="center" vertical="center"/>
    </xf>
    <xf numFmtId="0" fontId="7" fillId="0" borderId="2" xfId="120" applyFont="1" applyFill="1" applyBorder="1" applyAlignment="1">
      <alignment horizontal="center" vertical="center"/>
    </xf>
    <xf numFmtId="0" fontId="10" fillId="0" borderId="2" xfId="140" applyFont="1" applyFill="1" applyBorder="1" applyAlignment="1">
      <alignment horizontal="center" vertical="center"/>
    </xf>
    <xf numFmtId="0" fontId="8" fillId="0" borderId="3" xfId="31" applyFont="1" applyFill="1" applyBorder="1" applyAlignment="1">
      <alignment horizontal="center" vertical="center"/>
    </xf>
    <xf numFmtId="0" fontId="8" fillId="0" borderId="4" xfId="31" applyFont="1" applyFill="1" applyBorder="1" applyAlignment="1">
      <alignment horizontal="center" vertical="center"/>
    </xf>
    <xf numFmtId="0" fontId="11" fillId="0" borderId="0" xfId="120" applyFont="1" applyFill="1" applyBorder="1" applyAlignment="1">
      <alignment horizontal="center" vertical="center"/>
    </xf>
    <xf numFmtId="0" fontId="7" fillId="0" borderId="5" xfId="120" applyFont="1" applyFill="1" applyBorder="1" applyAlignment="1">
      <alignment horizontal="center" vertical="center"/>
    </xf>
    <xf numFmtId="0" fontId="7" fillId="0" borderId="5" xfId="140" applyFont="1" applyFill="1" applyBorder="1" applyAlignment="1">
      <alignment horizontal="center" vertical="center"/>
    </xf>
    <xf numFmtId="0" fontId="11" fillId="0" borderId="5" xfId="120" applyFont="1" applyFill="1" applyBorder="1" applyAlignment="1">
      <alignment horizontal="center" vertical="center" wrapText="1"/>
    </xf>
    <xf numFmtId="0" fontId="11" fillId="0" borderId="6" xfId="120" applyFont="1" applyFill="1" applyBorder="1" applyAlignment="1">
      <alignment horizontal="center" vertical="center"/>
    </xf>
    <xf numFmtId="0" fontId="11" fillId="0" borderId="7" xfId="120" applyFont="1" applyFill="1" applyBorder="1" applyAlignment="1">
      <alignment horizontal="center" vertical="center"/>
    </xf>
    <xf numFmtId="0" fontId="7" fillId="0" borderId="8" xfId="120" applyFont="1" applyFill="1" applyBorder="1" applyAlignment="1">
      <alignment horizontal="center" vertical="center"/>
    </xf>
    <xf numFmtId="0" fontId="11" fillId="0" borderId="8" xfId="120" applyFont="1" applyFill="1" applyBorder="1" applyAlignment="1">
      <alignment horizontal="center" vertical="center"/>
    </xf>
    <xf numFmtId="0" fontId="7" fillId="0" borderId="8" xfId="140" applyFont="1" applyFill="1" applyBorder="1" applyAlignment="1">
      <alignment horizontal="center" vertical="center"/>
    </xf>
    <xf numFmtId="0" fontId="11" fillId="0" borderId="8" xfId="120" applyFont="1" applyFill="1" applyBorder="1" applyAlignment="1">
      <alignment horizontal="center" vertical="center" wrapText="1"/>
    </xf>
    <xf numFmtId="0" fontId="11" fillId="0" borderId="9" xfId="120" applyFont="1" applyFill="1" applyBorder="1" applyAlignment="1">
      <alignment horizontal="center" vertical="center"/>
    </xf>
    <xf numFmtId="0" fontId="11" fillId="0" borderId="10" xfId="120" applyFont="1" applyFill="1" applyBorder="1" applyAlignment="1">
      <alignment horizontal="center" vertical="center"/>
    </xf>
    <xf numFmtId="0" fontId="12" fillId="0" borderId="2" xfId="120" applyFont="1" applyFill="1" applyBorder="1" applyAlignment="1">
      <alignment horizontal="center" vertical="center"/>
    </xf>
    <xf numFmtId="0" fontId="12" fillId="0" borderId="5" xfId="120" applyFont="1" applyFill="1" applyBorder="1" applyAlignment="1">
      <alignment horizontal="center" vertical="center"/>
    </xf>
    <xf numFmtId="177" fontId="12" fillId="0" borderId="5" xfId="120" applyNumberFormat="1" applyFont="1" applyFill="1" applyBorder="1" applyAlignment="1">
      <alignment horizontal="center" vertical="center"/>
    </xf>
    <xf numFmtId="176" fontId="12" fillId="0" borderId="5" xfId="120" applyNumberFormat="1" applyFont="1" applyFill="1" applyBorder="1" applyAlignment="1">
      <alignment horizontal="center" vertical="center"/>
    </xf>
    <xf numFmtId="0" fontId="12" fillId="0" borderId="3" xfId="175" applyFont="1" applyFill="1" applyBorder="1" applyAlignment="1">
      <alignment horizontal="center" vertical="center" wrapText="1"/>
    </xf>
    <xf numFmtId="0" fontId="12" fillId="0" borderId="4" xfId="175" applyFont="1" applyFill="1" applyBorder="1" applyAlignment="1">
      <alignment horizontal="center" vertical="center" wrapText="1"/>
    </xf>
    <xf numFmtId="179" fontId="12" fillId="0" borderId="5" xfId="120" applyNumberFormat="1" applyFont="1" applyFill="1" applyBorder="1" applyAlignment="1">
      <alignment horizontal="center" vertical="center"/>
    </xf>
    <xf numFmtId="180" fontId="12" fillId="0" borderId="5" xfId="86" applyNumberFormat="1" applyFont="1" applyFill="1" applyBorder="1" applyAlignment="1">
      <alignment horizontal="center" vertical="center"/>
    </xf>
    <xf numFmtId="0" fontId="13" fillId="0" borderId="5" xfId="120" applyFont="1" applyFill="1" applyBorder="1" applyAlignment="1">
      <alignment horizontal="center" vertical="center"/>
    </xf>
    <xf numFmtId="0" fontId="12" fillId="0" borderId="3" xfId="18" applyFont="1" applyFill="1" applyBorder="1" applyAlignment="1">
      <alignment horizontal="center" vertical="center" wrapText="1"/>
    </xf>
    <xf numFmtId="0" fontId="12" fillId="0" borderId="4" xfId="18" applyFont="1" applyFill="1" applyBorder="1" applyAlignment="1">
      <alignment horizontal="center" vertical="center" wrapText="1"/>
    </xf>
    <xf numFmtId="49" fontId="12" fillId="0" borderId="5" xfId="120" applyNumberFormat="1" applyFont="1" applyFill="1" applyBorder="1" applyAlignment="1">
      <alignment horizontal="center" vertical="center"/>
    </xf>
    <xf numFmtId="0" fontId="12" fillId="0" borderId="3" xfId="98" applyFont="1" applyFill="1" applyBorder="1" applyAlignment="1">
      <alignment horizontal="center" vertical="center" wrapText="1"/>
    </xf>
    <xf numFmtId="0" fontId="12" fillId="0" borderId="4" xfId="98" applyFont="1" applyFill="1" applyBorder="1" applyAlignment="1">
      <alignment horizontal="center" vertical="center" wrapText="1"/>
    </xf>
    <xf numFmtId="49" fontId="12" fillId="0" borderId="2" xfId="120" applyNumberFormat="1" applyFont="1" applyFill="1" applyBorder="1" applyAlignment="1">
      <alignment horizontal="center" vertical="center"/>
    </xf>
    <xf numFmtId="177" fontId="12" fillId="0" borderId="2" xfId="120" applyNumberFormat="1" applyFont="1" applyFill="1" applyBorder="1" applyAlignment="1">
      <alignment horizontal="center" vertical="center"/>
    </xf>
    <xf numFmtId="0" fontId="13" fillId="0" borderId="11" xfId="123" applyFont="1" applyFill="1" applyBorder="1" applyAlignment="1">
      <alignment horizontal="center" vertical="center"/>
    </xf>
    <xf numFmtId="0" fontId="12" fillId="0" borderId="11" xfId="123" applyFont="1" applyFill="1" applyBorder="1" applyAlignment="1">
      <alignment horizontal="center" vertical="center"/>
    </xf>
    <xf numFmtId="0" fontId="12" fillId="0" borderId="0" xfId="123" applyFont="1" applyFill="1" applyBorder="1" applyAlignment="1">
      <alignment horizontal="center" vertical="center"/>
    </xf>
    <xf numFmtId="181" fontId="12" fillId="0" borderId="0" xfId="123" applyNumberFormat="1" applyFont="1" applyFill="1" applyBorder="1" applyAlignment="1">
      <alignment horizontal="center" vertical="center"/>
    </xf>
    <xf numFmtId="0" fontId="14" fillId="0" borderId="0" xfId="123" applyFont="1" applyFill="1" applyBorder="1" applyAlignment="1">
      <alignment horizontal="center" vertical="center"/>
    </xf>
    <xf numFmtId="0" fontId="12" fillId="0" borderId="0" xfId="123" applyFont="1" applyFill="1" applyBorder="1" applyAlignment="1">
      <alignment horizontal="center" vertical="center" wrapText="1"/>
    </xf>
    <xf numFmtId="0" fontId="12" fillId="0" borderId="0" xfId="120" applyFont="1" applyFill="1" applyBorder="1" applyAlignment="1">
      <alignment horizontal="center" vertical="center"/>
    </xf>
    <xf numFmtId="49" fontId="12" fillId="0" borderId="0" xfId="120" applyNumberFormat="1" applyFont="1" applyFill="1" applyBorder="1" applyAlignment="1">
      <alignment horizontal="center" vertical="center"/>
    </xf>
    <xf numFmtId="177" fontId="12" fillId="0" borderId="0" xfId="120" applyNumberFormat="1" applyFont="1" applyFill="1" applyBorder="1" applyAlignment="1">
      <alignment horizontal="center" vertical="center"/>
    </xf>
    <xf numFmtId="0" fontId="12" fillId="0" borderId="0" xfId="193" applyFont="1" applyBorder="1" applyAlignment="1">
      <alignment horizontal="center" vertical="center"/>
    </xf>
    <xf numFmtId="0" fontId="15" fillId="0" borderId="0" xfId="77" applyFont="1" applyFill="1" applyBorder="1" applyAlignment="1">
      <alignment horizontal="left" vertical="center"/>
    </xf>
    <xf numFmtId="0" fontId="16" fillId="0" borderId="0" xfId="120" applyFont="1" applyFill="1" applyBorder="1" applyAlignment="1">
      <alignment horizontal="right" vertical="center"/>
    </xf>
    <xf numFmtId="0" fontId="7" fillId="0" borderId="0" xfId="147" applyFill="1" applyBorder="1" applyAlignment="1">
      <alignment vertical="center"/>
    </xf>
    <xf numFmtId="0" fontId="7" fillId="0" borderId="0" xfId="147" applyFill="1" applyBorder="1" applyAlignment="1"/>
    <xf numFmtId="0" fontId="9" fillId="0" borderId="0" xfId="147" applyFont="1" applyFill="1" applyBorder="1" applyAlignment="1">
      <alignment horizontal="center" vertical="center"/>
    </xf>
    <xf numFmtId="0" fontId="7" fillId="0" borderId="1" xfId="147" applyFont="1" applyFill="1" applyBorder="1" applyAlignment="1">
      <alignment horizontal="center" vertical="center"/>
    </xf>
    <xf numFmtId="0" fontId="7" fillId="0" borderId="0" xfId="147" applyFont="1" applyFill="1" applyBorder="1" applyAlignment="1">
      <alignment horizontal="center" vertical="center"/>
    </xf>
    <xf numFmtId="0" fontId="7" fillId="0" borderId="2" xfId="147" applyFont="1" applyFill="1" applyBorder="1" applyAlignment="1">
      <alignment horizontal="center" vertical="center"/>
    </xf>
    <xf numFmtId="0" fontId="11" fillId="0" borderId="0" xfId="147" applyFont="1" applyFill="1" applyBorder="1" applyAlignment="1">
      <alignment horizontal="center" vertical="center"/>
    </xf>
    <xf numFmtId="0" fontId="7" fillId="0" borderId="5" xfId="147" applyFont="1" applyFill="1" applyBorder="1" applyAlignment="1">
      <alignment horizontal="center" vertical="center"/>
    </xf>
    <xf numFmtId="0" fontId="11" fillId="0" borderId="5" xfId="147" applyFont="1" applyFill="1" applyBorder="1" applyAlignment="1">
      <alignment horizontal="center" vertical="center" wrapText="1"/>
    </xf>
    <xf numFmtId="0" fontId="11" fillId="0" borderId="6" xfId="147" applyFont="1" applyFill="1" applyBorder="1" applyAlignment="1">
      <alignment horizontal="center" vertical="center"/>
    </xf>
    <xf numFmtId="0" fontId="11" fillId="0" borderId="7" xfId="147" applyFont="1" applyFill="1" applyBorder="1" applyAlignment="1">
      <alignment horizontal="center" vertical="center"/>
    </xf>
    <xf numFmtId="0" fontId="7" fillId="0" borderId="8" xfId="147" applyFont="1" applyFill="1" applyBorder="1" applyAlignment="1">
      <alignment horizontal="center" vertical="center"/>
    </xf>
    <xf numFmtId="0" fontId="11" fillId="0" borderId="8" xfId="147" applyFont="1" applyFill="1" applyBorder="1" applyAlignment="1">
      <alignment horizontal="center" vertical="center"/>
    </xf>
    <xf numFmtId="0" fontId="11" fillId="0" borderId="8" xfId="147" applyFont="1" applyFill="1" applyBorder="1" applyAlignment="1">
      <alignment horizontal="center" vertical="center" wrapText="1"/>
    </xf>
    <xf numFmtId="0" fontId="11" fillId="0" borderId="9" xfId="147" applyFont="1" applyFill="1" applyBorder="1" applyAlignment="1">
      <alignment horizontal="center" vertical="center"/>
    </xf>
    <xf numFmtId="0" fontId="11" fillId="0" borderId="10" xfId="147" applyFont="1" applyFill="1" applyBorder="1" applyAlignment="1">
      <alignment horizontal="center" vertical="center"/>
    </xf>
    <xf numFmtId="0" fontId="12" fillId="0" borderId="5" xfId="147" applyFont="1" applyFill="1" applyBorder="1" applyAlignment="1">
      <alignment horizontal="center" vertical="center"/>
    </xf>
    <xf numFmtId="176" fontId="12" fillId="0" borderId="5" xfId="147" applyNumberFormat="1" applyFont="1" applyFill="1" applyBorder="1" applyAlignment="1">
      <alignment horizontal="center" vertical="center"/>
    </xf>
    <xf numFmtId="0" fontId="12" fillId="0" borderId="5" xfId="147" applyFont="1" applyFill="1" applyBorder="1" applyAlignment="1">
      <alignment horizontal="center" vertical="center" wrapText="1"/>
    </xf>
    <xf numFmtId="0" fontId="12" fillId="0" borderId="3" xfId="147" applyFont="1" applyFill="1" applyBorder="1" applyAlignment="1">
      <alignment horizontal="center" vertical="center" wrapText="1"/>
    </xf>
    <xf numFmtId="0" fontId="12" fillId="0" borderId="4" xfId="147" applyFont="1" applyFill="1" applyBorder="1" applyAlignment="1">
      <alignment horizontal="center" vertical="center" wrapText="1"/>
    </xf>
    <xf numFmtId="179" fontId="12" fillId="0" borderId="5" xfId="147" applyNumberFormat="1" applyFont="1" applyFill="1" applyBorder="1" applyAlignment="1">
      <alignment horizontal="center" vertical="center"/>
    </xf>
    <xf numFmtId="49" fontId="12" fillId="0" borderId="5" xfId="147" applyNumberFormat="1" applyFont="1" applyFill="1" applyBorder="1" applyAlignment="1">
      <alignment horizontal="center" vertical="center"/>
    </xf>
    <xf numFmtId="49" fontId="13" fillId="0" borderId="5" xfId="147" applyNumberFormat="1" applyFont="1" applyFill="1" applyBorder="1" applyAlignment="1">
      <alignment horizontal="center" vertical="center"/>
    </xf>
    <xf numFmtId="181" fontId="12" fillId="0" borderId="5" xfId="147" applyNumberFormat="1" applyFont="1" applyFill="1" applyBorder="1" applyAlignment="1">
      <alignment horizontal="center" vertical="center"/>
    </xf>
    <xf numFmtId="177" fontId="12" fillId="0" borderId="5" xfId="147" applyNumberFormat="1" applyFont="1" applyFill="1" applyBorder="1" applyAlignment="1">
      <alignment horizontal="center" vertical="center"/>
    </xf>
    <xf numFmtId="0" fontId="12" fillId="0" borderId="2" xfId="147" applyFont="1" applyFill="1" applyBorder="1" applyAlignment="1">
      <alignment horizontal="center" vertical="center"/>
    </xf>
    <xf numFmtId="180" fontId="12" fillId="0" borderId="2" xfId="147" applyNumberFormat="1" applyFont="1" applyFill="1" applyBorder="1" applyAlignment="1">
      <alignment horizontal="center" vertical="center"/>
    </xf>
    <xf numFmtId="0" fontId="14" fillId="0" borderId="0" xfId="147" applyFont="1" applyFill="1" applyBorder="1" applyAlignment="1">
      <alignment horizontal="right" vertical="center"/>
    </xf>
    <xf numFmtId="0" fontId="16" fillId="0" borderId="0" xfId="147" applyFont="1" applyFill="1" applyBorder="1" applyAlignment="1">
      <alignment horizontal="right" vertical="center"/>
    </xf>
    <xf numFmtId="0" fontId="17" fillId="0" borderId="0" xfId="31" applyFont="1" applyFill="1" applyBorder="1" applyAlignment="1">
      <alignment horizontal="left" vertical="center"/>
    </xf>
    <xf numFmtId="0" fontId="18" fillId="0" borderId="1" xfId="31" applyFont="1" applyFill="1" applyBorder="1" applyAlignment="1">
      <alignment horizontal="center" vertical="center"/>
    </xf>
    <xf numFmtId="0" fontId="0" fillId="0" borderId="2" xfId="31" applyFill="1" applyBorder="1" applyAlignment="1">
      <alignment horizontal="center" vertical="center"/>
    </xf>
    <xf numFmtId="0" fontId="15" fillId="0" borderId="2" xfId="26" applyFont="1" applyFill="1" applyBorder="1" applyAlignment="1">
      <alignment horizontal="center" vertical="center"/>
    </xf>
    <xf numFmtId="0" fontId="19" fillId="0" borderId="2" xfId="26" applyFont="1" applyFill="1" applyBorder="1" applyAlignment="1">
      <alignment horizontal="center" vertical="center"/>
    </xf>
    <xf numFmtId="0" fontId="20" fillId="0" borderId="2" xfId="26" applyFont="1" applyFill="1" applyBorder="1" applyAlignment="1">
      <alignment horizontal="center" vertical="center"/>
    </xf>
    <xf numFmtId="0" fontId="0" fillId="0" borderId="0" xfId="31" applyFill="1" applyBorder="1" applyAlignment="1">
      <alignment horizontal="center" vertical="center"/>
    </xf>
    <xf numFmtId="0" fontId="20" fillId="0" borderId="2" xfId="166" applyFont="1" applyFill="1" applyBorder="1" applyAlignment="1">
      <alignment horizontal="center" vertical="center"/>
    </xf>
    <xf numFmtId="0" fontId="15" fillId="0" borderId="2" xfId="166" applyFont="1" applyFill="1" applyBorder="1" applyAlignment="1">
      <alignment horizontal="center" vertical="center"/>
    </xf>
    <xf numFmtId="0" fontId="15" fillId="0" borderId="2" xfId="26" applyFont="1" applyFill="1" applyBorder="1" applyAlignment="1">
      <alignment horizontal="center" vertical="center" wrapText="1"/>
    </xf>
    <xf numFmtId="0" fontId="21" fillId="0" borderId="2" xfId="159" applyFont="1" applyFill="1" applyBorder="1" applyAlignment="1">
      <alignment horizontal="center" vertical="center"/>
    </xf>
    <xf numFmtId="0" fontId="15" fillId="0" borderId="3" xfId="26" applyFont="1" applyFill="1" applyBorder="1" applyAlignment="1">
      <alignment horizontal="center" vertical="center"/>
    </xf>
    <xf numFmtId="0" fontId="15" fillId="0" borderId="12" xfId="26" applyFont="1" applyFill="1" applyBorder="1" applyAlignment="1">
      <alignment horizontal="center" vertical="center"/>
    </xf>
    <xf numFmtId="0" fontId="15" fillId="0" borderId="4" xfId="26" applyFont="1" applyFill="1" applyBorder="1" applyAlignment="1">
      <alignment horizontal="center" vertical="center"/>
    </xf>
    <xf numFmtId="0" fontId="0" fillId="0" borderId="5" xfId="26" applyFill="1" applyBorder="1" applyAlignment="1">
      <alignment horizontal="center" vertical="center"/>
    </xf>
    <xf numFmtId="0" fontId="22" fillId="0" borderId="6" xfId="166" applyFont="1" applyFill="1" applyBorder="1" applyAlignment="1">
      <alignment horizontal="center" vertical="center" wrapText="1"/>
    </xf>
    <xf numFmtId="0" fontId="22" fillId="0" borderId="11" xfId="166" applyFont="1" applyFill="1" applyBorder="1" applyAlignment="1">
      <alignment horizontal="center" vertical="center"/>
    </xf>
    <xf numFmtId="0" fontId="22" fillId="0" borderId="7" xfId="166" applyFont="1" applyFill="1" applyBorder="1" applyAlignment="1">
      <alignment horizontal="center" vertical="center"/>
    </xf>
    <xf numFmtId="0" fontId="1" fillId="0" borderId="13" xfId="26" applyFont="1" applyFill="1" applyBorder="1" applyAlignment="1">
      <alignment horizontal="center" vertical="center"/>
    </xf>
    <xf numFmtId="0" fontId="22" fillId="0" borderId="14" xfId="166" applyFont="1" applyFill="1" applyBorder="1" applyAlignment="1">
      <alignment horizontal="center" vertical="center"/>
    </xf>
    <xf numFmtId="0" fontId="22" fillId="0" borderId="0" xfId="166" applyFont="1" applyFill="1" applyBorder="1" applyAlignment="1">
      <alignment horizontal="center" vertical="center"/>
    </xf>
    <xf numFmtId="0" fontId="22" fillId="0" borderId="15" xfId="166" applyFont="1" applyFill="1" applyBorder="1" applyAlignment="1">
      <alignment horizontal="center" vertical="center"/>
    </xf>
    <xf numFmtId="0" fontId="0" fillId="0" borderId="8" xfId="26" applyFill="1" applyBorder="1" applyAlignment="1">
      <alignment horizontal="center" vertical="center"/>
    </xf>
    <xf numFmtId="0" fontId="22" fillId="0" borderId="9" xfId="166" applyFont="1" applyFill="1" applyBorder="1" applyAlignment="1">
      <alignment horizontal="center" vertical="center"/>
    </xf>
    <xf numFmtId="0" fontId="22" fillId="0" borderId="1" xfId="166" applyFont="1" applyFill="1" applyBorder="1" applyAlignment="1">
      <alignment horizontal="center" vertical="center"/>
    </xf>
    <xf numFmtId="0" fontId="22" fillId="0" borderId="10" xfId="166" applyFont="1" applyFill="1" applyBorder="1" applyAlignment="1">
      <alignment horizontal="center" vertical="center"/>
    </xf>
    <xf numFmtId="0" fontId="0" fillId="0" borderId="3" xfId="26" applyFill="1" applyBorder="1" applyAlignment="1">
      <alignment horizontal="center" vertical="center"/>
    </xf>
    <xf numFmtId="0" fontId="0" fillId="0" borderId="12" xfId="26" applyFill="1" applyBorder="1" applyAlignment="1">
      <alignment horizontal="center" vertical="center"/>
    </xf>
    <xf numFmtId="0" fontId="0" fillId="0" borderId="4" xfId="26" applyFill="1" applyBorder="1" applyAlignment="1">
      <alignment horizontal="center" vertical="center"/>
    </xf>
    <xf numFmtId="0" fontId="0" fillId="0" borderId="0" xfId="175" applyFill="1" applyBorder="1" applyAlignment="1">
      <alignment horizontal="right" vertical="center"/>
    </xf>
    <xf numFmtId="0" fontId="0" fillId="0" borderId="11" xfId="175" applyFill="1" applyBorder="1" applyAlignment="1">
      <alignment horizontal="center" vertical="center"/>
    </xf>
    <xf numFmtId="0" fontId="0" fillId="0" borderId="11" xfId="175" applyFill="1" applyBorder="1" applyAlignment="1">
      <alignment horizontal="right" vertical="center"/>
    </xf>
    <xf numFmtId="0" fontId="0" fillId="0" borderId="11" xfId="18" applyFont="1" applyFill="1" applyBorder="1" applyAlignment="1">
      <alignment horizontal="left" vertical="center"/>
    </xf>
    <xf numFmtId="0" fontId="0" fillId="0" borderId="0" xfId="175" applyFill="1" applyBorder="1" applyAlignment="1">
      <alignment horizontal="center" vertical="center"/>
    </xf>
    <xf numFmtId="0" fontId="0" fillId="0" borderId="0" xfId="18" applyFont="1" applyFill="1" applyBorder="1" applyAlignment="1">
      <alignment horizontal="left" vertical="center"/>
    </xf>
    <xf numFmtId="0" fontId="0" fillId="0" borderId="0" xfId="175" applyFill="1" applyBorder="1" applyAlignment="1">
      <alignment horizontal="center" vertical="center"/>
    </xf>
    <xf numFmtId="0" fontId="0" fillId="0" borderId="0" xfId="175" applyFill="1" applyBorder="1" applyAlignment="1">
      <alignment vertical="center"/>
    </xf>
    <xf numFmtId="0" fontId="0" fillId="0" borderId="0" xfId="31" applyFill="1" applyBorder="1" applyAlignment="1">
      <alignment horizontal="right" vertical="center"/>
    </xf>
    <xf numFmtId="0" fontId="23" fillId="0" borderId="0" xfId="31" applyFont="1" applyFill="1" applyBorder="1" applyAlignment="1">
      <alignment horizontal="center" vertical="center"/>
    </xf>
    <xf numFmtId="0" fontId="24" fillId="0" borderId="0" xfId="31" applyFont="1" applyFill="1" applyBorder="1" applyAlignment="1">
      <alignment horizontal="left" vertical="center"/>
    </xf>
    <xf numFmtId="0" fontId="5" fillId="0" borderId="0" xfId="26" applyFont="1" applyFill="1" applyBorder="1" applyAlignment="1">
      <alignment vertical="center"/>
    </xf>
    <xf numFmtId="0" fontId="6" fillId="0" borderId="0" xfId="31" applyFont="1" applyFill="1" applyBorder="1" applyAlignment="1">
      <alignment horizontal="left" vertical="center"/>
    </xf>
    <xf numFmtId="0" fontId="25" fillId="0" borderId="0" xfId="166" applyFont="1" applyFill="1" applyBorder="1" applyAlignment="1">
      <alignment vertical="center"/>
    </xf>
    <xf numFmtId="49" fontId="1" fillId="0" borderId="0" xfId="166" applyNumberFormat="1" applyFont="1" applyFill="1" applyBorder="1" applyAlignment="1">
      <alignment horizontal="left" vertical="center"/>
    </xf>
    <xf numFmtId="0" fontId="0" fillId="0" borderId="0" xfId="71">
      <alignment vertical="center"/>
    </xf>
    <xf numFmtId="0" fontId="26" fillId="0" borderId="0" xfId="71" applyFont="1" applyAlignment="1">
      <alignment horizontal="right" vertical="top"/>
    </xf>
    <xf numFmtId="0" fontId="27" fillId="0" borderId="0" xfId="71" applyFont="1" applyAlignment="1">
      <alignment horizontal="right" vertical="top"/>
    </xf>
    <xf numFmtId="0" fontId="2" fillId="0" borderId="0" xfId="175" applyFont="1" applyFill="1" applyAlignment="1">
      <alignment horizontal="center" vertical="center"/>
    </xf>
    <xf numFmtId="0" fontId="27" fillId="0" borderId="0" xfId="175" applyFont="1" applyFill="1" applyAlignment="1">
      <alignment horizontal="left" vertical="center"/>
    </xf>
    <xf numFmtId="0" fontId="0" fillId="0" borderId="0" xfId="71" applyFont="1">
      <alignment vertical="center"/>
    </xf>
    <xf numFmtId="0" fontId="27" fillId="0" borderId="0" xfId="175" applyFont="1" applyFill="1" applyAlignment="1">
      <alignment vertical="center"/>
    </xf>
    <xf numFmtId="0" fontId="28" fillId="0" borderId="0" xfId="175" applyFont="1" applyFill="1" applyAlignment="1">
      <alignment horizontal="left" vertical="center"/>
    </xf>
    <xf numFmtId="0" fontId="4" fillId="0" borderId="0" xfId="175" applyFont="1" applyFill="1" applyAlignment="1">
      <alignment horizontal="justify" vertical="top"/>
    </xf>
    <xf numFmtId="0" fontId="27" fillId="0" borderId="0" xfId="175" applyFont="1" applyFill="1" applyAlignment="1">
      <alignment horizontal="justify" vertical="center"/>
    </xf>
    <xf numFmtId="0" fontId="28" fillId="0" borderId="0" xfId="175" applyFont="1" applyFill="1" applyAlignment="1">
      <alignment horizontal="justify" vertical="center"/>
    </xf>
    <xf numFmtId="0" fontId="27" fillId="0" borderId="0" xfId="175" applyFont="1" applyFill="1" applyAlignment="1">
      <alignment horizontal="left" vertical="top"/>
    </xf>
    <xf numFmtId="0" fontId="5" fillId="0" borderId="0" xfId="175" applyFont="1" applyFill="1" applyAlignment="1">
      <alignment vertical="center"/>
    </xf>
    <xf numFmtId="0" fontId="6" fillId="0" borderId="0" xfId="175" applyFont="1" applyFill="1" applyAlignment="1">
      <alignment horizontal="left" vertical="center" indent="1"/>
    </xf>
    <xf numFmtId="0" fontId="7" fillId="0" borderId="0" xfId="54" applyAlignment="1">
      <alignment vertical="center"/>
    </xf>
    <xf numFmtId="0" fontId="7" fillId="0" borderId="0" xfId="54"/>
    <xf numFmtId="0" fontId="26" fillId="0" borderId="0" xfId="71" applyFont="1" applyAlignment="1">
      <alignment horizontal="left" vertical="center"/>
    </xf>
    <xf numFmtId="0" fontId="26" fillId="0" borderId="0" xfId="71" applyFont="1" applyAlignment="1">
      <alignment horizontal="right" vertical="center"/>
    </xf>
    <xf numFmtId="0" fontId="9" fillId="0" borderId="0" xfId="54" applyFont="1" applyBorder="1" applyAlignment="1">
      <alignment horizontal="center" vertical="center"/>
    </xf>
    <xf numFmtId="0" fontId="7" fillId="0" borderId="1" xfId="54" applyFont="1" applyBorder="1" applyAlignment="1">
      <alignment horizontal="center" vertical="center"/>
    </xf>
    <xf numFmtId="0" fontId="7" fillId="0" borderId="0" xfId="54" applyFont="1" applyBorder="1" applyAlignment="1">
      <alignment horizontal="center" vertical="center"/>
    </xf>
    <xf numFmtId="0" fontId="7" fillId="0" borderId="2" xfId="54" applyFont="1" applyBorder="1" applyAlignment="1">
      <alignment horizontal="center" vertical="center"/>
    </xf>
    <xf numFmtId="0" fontId="7" fillId="0" borderId="2" xfId="145" applyFont="1" applyBorder="1" applyAlignment="1">
      <alignment horizontal="center" vertical="center"/>
    </xf>
    <xf numFmtId="0" fontId="26" fillId="0" borderId="3" xfId="71" applyFont="1" applyBorder="1" applyAlignment="1">
      <alignment horizontal="center" vertical="center"/>
    </xf>
    <xf numFmtId="0" fontId="26" fillId="0" borderId="4" xfId="71" applyFont="1" applyBorder="1" applyAlignment="1">
      <alignment horizontal="center" vertical="center"/>
    </xf>
    <xf numFmtId="0" fontId="29" fillId="0" borderId="0" xfId="54" applyFont="1" applyBorder="1" applyAlignment="1">
      <alignment horizontal="center" vertical="center"/>
    </xf>
    <xf numFmtId="0" fontId="7" fillId="0" borderId="5" xfId="54" applyFont="1" applyBorder="1" applyAlignment="1">
      <alignment horizontal="center" vertical="center"/>
    </xf>
    <xf numFmtId="0" fontId="7" fillId="0" borderId="5" xfId="145" applyFont="1" applyBorder="1" applyAlignment="1">
      <alignment horizontal="center" vertical="center"/>
    </xf>
    <xf numFmtId="0" fontId="29" fillId="0" borderId="5" xfId="145" applyFont="1" applyBorder="1" applyAlignment="1">
      <alignment horizontal="center" vertical="center" wrapText="1"/>
    </xf>
    <xf numFmtId="0" fontId="29" fillId="0" borderId="6" xfId="54" applyFont="1" applyBorder="1" applyAlignment="1">
      <alignment horizontal="center" vertical="center"/>
    </xf>
    <xf numFmtId="0" fontId="29" fillId="0" borderId="7" xfId="54" applyFont="1" applyBorder="1" applyAlignment="1">
      <alignment horizontal="center" vertical="center"/>
    </xf>
    <xf numFmtId="0" fontId="7" fillId="0" borderId="8" xfId="54" applyFont="1" applyBorder="1" applyAlignment="1">
      <alignment horizontal="center" vertical="center"/>
    </xf>
    <xf numFmtId="0" fontId="29" fillId="0" borderId="8" xfId="54" applyFont="1" applyBorder="1" applyAlignment="1">
      <alignment horizontal="center" vertical="center"/>
    </xf>
    <xf numFmtId="0" fontId="7" fillId="0" borderId="8" xfId="145" applyFont="1" applyBorder="1" applyAlignment="1">
      <alignment horizontal="center" vertical="center"/>
    </xf>
    <xf numFmtId="0" fontId="7" fillId="0" borderId="8" xfId="145" applyFont="1" applyBorder="1" applyAlignment="1">
      <alignment horizontal="center" vertical="center" wrapText="1"/>
    </xf>
    <xf numFmtId="0" fontId="29" fillId="0" borderId="9" xfId="54" applyFont="1" applyBorder="1" applyAlignment="1">
      <alignment horizontal="center" vertical="center"/>
    </xf>
    <xf numFmtId="0" fontId="29" fillId="0" borderId="10" xfId="54" applyFont="1" applyBorder="1" applyAlignment="1">
      <alignment horizontal="center" vertical="center"/>
    </xf>
    <xf numFmtId="0" fontId="30" fillId="0" borderId="8" xfId="145" applyFont="1" applyBorder="1" applyAlignment="1">
      <alignment horizontal="center" vertical="center"/>
    </xf>
    <xf numFmtId="0" fontId="30" fillId="0" borderId="5" xfId="71" applyFont="1" applyBorder="1" applyAlignment="1">
      <alignment horizontal="center" vertical="center"/>
    </xf>
    <xf numFmtId="0" fontId="30" fillId="0" borderId="5" xfId="114" applyFont="1" applyBorder="1" applyAlignment="1">
      <alignment horizontal="center" vertical="center"/>
    </xf>
    <xf numFmtId="177" fontId="30" fillId="0" borderId="5" xfId="71" applyNumberFormat="1" applyFont="1" applyBorder="1" applyAlignment="1">
      <alignment horizontal="center" vertical="center"/>
    </xf>
    <xf numFmtId="176" fontId="30" fillId="0" borderId="5" xfId="71" applyNumberFormat="1" applyFont="1" applyBorder="1" applyAlignment="1">
      <alignment horizontal="center" vertical="center"/>
    </xf>
    <xf numFmtId="0" fontId="30" fillId="0" borderId="3" xfId="71" applyFont="1" applyBorder="1" applyAlignment="1">
      <alignment horizontal="center" vertical="center" wrapText="1"/>
    </xf>
    <xf numFmtId="0" fontId="30" fillId="0" borderId="4" xfId="71" applyFont="1" applyBorder="1" applyAlignment="1">
      <alignment horizontal="center" vertical="center" wrapText="1"/>
    </xf>
    <xf numFmtId="0" fontId="30" fillId="0" borderId="5" xfId="54" applyFont="1" applyBorder="1" applyAlignment="1">
      <alignment horizontal="center" vertical="center"/>
    </xf>
    <xf numFmtId="179" fontId="30" fillId="0" borderId="5" xfId="54" applyNumberFormat="1" applyFont="1" applyBorder="1" applyAlignment="1">
      <alignment horizontal="center" vertical="center"/>
    </xf>
    <xf numFmtId="0" fontId="30" fillId="0" borderId="2" xfId="54" applyFont="1" applyBorder="1" applyAlignment="1">
      <alignment horizontal="center" vertical="center"/>
    </xf>
    <xf numFmtId="0" fontId="30" fillId="0" borderId="2" xfId="114" applyFont="1" applyBorder="1" applyAlignment="1">
      <alignment horizontal="center" vertical="center"/>
    </xf>
    <xf numFmtId="182" fontId="30" fillId="0" borderId="2" xfId="54" applyNumberFormat="1" applyFont="1" applyBorder="1" applyAlignment="1">
      <alignment horizontal="center" vertical="center"/>
    </xf>
    <xf numFmtId="179" fontId="30" fillId="0" borderId="2" xfId="54" applyNumberFormat="1" applyFont="1" applyBorder="1" applyAlignment="1">
      <alignment horizontal="center" vertical="center"/>
    </xf>
    <xf numFmtId="180" fontId="30" fillId="0" borderId="5" xfId="54" applyNumberFormat="1" applyFont="1" applyBorder="1" applyAlignment="1">
      <alignment horizontal="center" vertical="center"/>
    </xf>
    <xf numFmtId="177" fontId="30" fillId="0" borderId="5" xfId="54" applyNumberFormat="1" applyFont="1" applyBorder="1" applyAlignment="1">
      <alignment horizontal="center" vertical="center"/>
    </xf>
    <xf numFmtId="179" fontId="30" fillId="0" borderId="5" xfId="114" applyNumberFormat="1" applyFont="1" applyBorder="1" applyAlignment="1">
      <alignment horizontal="center" vertical="center"/>
    </xf>
    <xf numFmtId="177" fontId="30" fillId="0" borderId="5" xfId="114" applyNumberFormat="1" applyFont="1" applyBorder="1" applyAlignment="1">
      <alignment horizontal="center" vertical="center"/>
    </xf>
    <xf numFmtId="0" fontId="30" fillId="0" borderId="5" xfId="114" applyFont="1" applyBorder="1" applyAlignment="1">
      <alignment horizontal="center" vertical="center" wrapText="1"/>
    </xf>
    <xf numFmtId="0" fontId="30" fillId="0" borderId="2" xfId="114" applyFont="1" applyBorder="1" applyAlignment="1">
      <alignment horizontal="center" vertical="center" wrapText="1"/>
    </xf>
    <xf numFmtId="177" fontId="30" fillId="0" borderId="2" xfId="114" applyNumberFormat="1" applyFont="1" applyBorder="1" applyAlignment="1">
      <alignment horizontal="center" vertical="center" wrapText="1"/>
    </xf>
    <xf numFmtId="0" fontId="30" fillId="0" borderId="3" xfId="18" applyFont="1" applyBorder="1" applyAlignment="1">
      <alignment horizontal="center" vertical="center" wrapText="1"/>
    </xf>
    <xf numFmtId="0" fontId="30" fillId="0" borderId="4" xfId="18" applyFont="1" applyBorder="1" applyAlignment="1">
      <alignment horizontal="center" vertical="center" wrapText="1"/>
    </xf>
    <xf numFmtId="0" fontId="30" fillId="0" borderId="5" xfId="129" applyFont="1" applyBorder="1" applyAlignment="1">
      <alignment horizontal="center" vertical="center"/>
    </xf>
    <xf numFmtId="180" fontId="30" fillId="0" borderId="2" xfId="129" applyNumberFormat="1" applyFont="1" applyBorder="1" applyAlignment="1">
      <alignment horizontal="center" vertical="center" wrapText="1"/>
    </xf>
    <xf numFmtId="0" fontId="30" fillId="0" borderId="3" xfId="120" applyFont="1" applyBorder="1" applyAlignment="1">
      <alignment horizontal="center" vertical="center" wrapText="1"/>
    </xf>
    <xf numFmtId="0" fontId="30" fillId="0" borderId="4" xfId="120" applyFont="1" applyBorder="1" applyAlignment="1">
      <alignment horizontal="center" vertical="center" wrapText="1"/>
    </xf>
    <xf numFmtId="182" fontId="30" fillId="0" borderId="5" xfId="129" applyNumberFormat="1" applyFont="1" applyBorder="1" applyAlignment="1">
      <alignment horizontal="center" vertical="center"/>
    </xf>
    <xf numFmtId="180" fontId="30" fillId="0" borderId="5" xfId="129" applyNumberFormat="1" applyFont="1" applyBorder="1" applyAlignment="1">
      <alignment horizontal="center" vertical="center"/>
    </xf>
    <xf numFmtId="177" fontId="30" fillId="0" borderId="2" xfId="114" applyNumberFormat="1" applyFont="1" applyBorder="1" applyAlignment="1">
      <alignment horizontal="center" vertical="center"/>
    </xf>
    <xf numFmtId="0" fontId="31" fillId="0" borderId="2" xfId="114" applyFont="1" applyBorder="1" applyAlignment="1">
      <alignment horizontal="center" vertical="center" wrapText="1"/>
    </xf>
    <xf numFmtId="0" fontId="13" fillId="0" borderId="11" xfId="125" applyFont="1" applyBorder="1" applyAlignment="1">
      <alignment horizontal="center" vertical="center"/>
    </xf>
    <xf numFmtId="0" fontId="13" fillId="0" borderId="0" xfId="125" applyFont="1" applyBorder="1" applyAlignment="1">
      <alignment horizontal="center" vertical="center"/>
    </xf>
    <xf numFmtId="0" fontId="30" fillId="0" borderId="0" xfId="114" applyFont="1" applyBorder="1" applyAlignment="1">
      <alignment horizontal="center" vertical="center"/>
    </xf>
    <xf numFmtId="177" fontId="30" fillId="0" borderId="0" xfId="114" applyNumberFormat="1" applyFont="1" applyBorder="1" applyAlignment="1">
      <alignment horizontal="center" vertical="center" wrapText="1"/>
    </xf>
    <xf numFmtId="0" fontId="30" fillId="0" borderId="0" xfId="75" applyFont="1" applyBorder="1" applyAlignment="1">
      <alignment horizontal="center" vertical="center" wrapText="1"/>
    </xf>
    <xf numFmtId="0" fontId="32" fillId="0" borderId="0" xfId="78" applyFont="1" applyAlignment="1">
      <alignment horizontal="left" vertical="center"/>
    </xf>
    <xf numFmtId="0" fontId="7" fillId="0" borderId="0" xfId="145" applyAlignment="1">
      <alignment horizontal="left" vertical="center"/>
    </xf>
    <xf numFmtId="0" fontId="7" fillId="0" borderId="0" xfId="145"/>
    <xf numFmtId="0" fontId="9" fillId="0" borderId="0" xfId="145" applyFont="1" applyBorder="1" applyAlignment="1">
      <alignment horizontal="center" vertical="center"/>
    </xf>
    <xf numFmtId="0" fontId="7" fillId="0" borderId="1" xfId="145" applyFont="1" applyBorder="1" applyAlignment="1">
      <alignment horizontal="center" vertical="center"/>
    </xf>
    <xf numFmtId="0" fontId="7" fillId="0" borderId="0" xfId="145" applyFont="1" applyBorder="1" applyAlignment="1">
      <alignment horizontal="center" vertical="center"/>
    </xf>
    <xf numFmtId="0" fontId="29" fillId="0" borderId="0" xfId="145" applyFont="1" applyBorder="1" applyAlignment="1">
      <alignment horizontal="center" vertical="center"/>
    </xf>
    <xf numFmtId="0" fontId="29" fillId="0" borderId="6" xfId="145" applyFont="1" applyBorder="1" applyAlignment="1">
      <alignment horizontal="center" vertical="center"/>
    </xf>
    <xf numFmtId="0" fontId="29" fillId="0" borderId="7" xfId="145" applyFont="1" applyBorder="1" applyAlignment="1">
      <alignment horizontal="center" vertical="center"/>
    </xf>
    <xf numFmtId="0" fontId="29" fillId="0" borderId="8" xfId="145" applyFont="1" applyBorder="1" applyAlignment="1">
      <alignment horizontal="center" vertical="center"/>
    </xf>
    <xf numFmtId="0" fontId="29" fillId="0" borderId="9" xfId="145" applyFont="1" applyBorder="1" applyAlignment="1">
      <alignment horizontal="center" vertical="center"/>
    </xf>
    <xf numFmtId="0" fontId="29" fillId="0" borderId="10" xfId="145" applyFont="1" applyBorder="1" applyAlignment="1">
      <alignment horizontal="center" vertical="center"/>
    </xf>
    <xf numFmtId="0" fontId="13" fillId="0" borderId="2" xfId="145" applyFont="1" applyBorder="1" applyAlignment="1">
      <alignment horizontal="center" vertical="center"/>
    </xf>
    <xf numFmtId="0" fontId="30" fillId="0" borderId="2" xfId="120" applyFont="1" applyBorder="1" applyAlignment="1">
      <alignment horizontal="center" vertical="center"/>
    </xf>
    <xf numFmtId="179" fontId="30" fillId="0" borderId="2" xfId="145" applyNumberFormat="1" applyFont="1" applyBorder="1" applyAlignment="1">
      <alignment horizontal="center" vertical="center"/>
    </xf>
    <xf numFmtId="0" fontId="30" fillId="0" borderId="2" xfId="145" applyFont="1" applyBorder="1" applyAlignment="1">
      <alignment horizontal="center" vertical="center" wrapText="1"/>
    </xf>
    <xf numFmtId="0" fontId="30" fillId="0" borderId="3" xfId="145" applyFont="1" applyBorder="1" applyAlignment="1">
      <alignment horizontal="center" vertical="center" wrapText="1"/>
    </xf>
    <xf numFmtId="0" fontId="30" fillId="0" borderId="4" xfId="145" applyFont="1" applyBorder="1" applyAlignment="1">
      <alignment horizontal="center" vertical="center" wrapText="1"/>
    </xf>
    <xf numFmtId="0" fontId="13" fillId="0" borderId="5" xfId="114" applyFont="1" applyBorder="1" applyAlignment="1">
      <alignment horizontal="center" vertical="center"/>
    </xf>
    <xf numFmtId="181" fontId="13" fillId="0" borderId="5" xfId="114" applyNumberFormat="1" applyFont="1" applyBorder="1" applyAlignment="1">
      <alignment horizontal="center" vertical="center"/>
    </xf>
    <xf numFmtId="181" fontId="30" fillId="0" borderId="5" xfId="114" applyNumberFormat="1" applyFont="1" applyBorder="1" applyAlignment="1">
      <alignment horizontal="center" vertical="center"/>
    </xf>
    <xf numFmtId="176" fontId="30" fillId="0" borderId="5" xfId="114" applyNumberFormat="1" applyFont="1" applyBorder="1" applyAlignment="1">
      <alignment horizontal="center" vertical="center"/>
    </xf>
    <xf numFmtId="0" fontId="13" fillId="0" borderId="5" xfId="94" applyFont="1" applyBorder="1" applyAlignment="1">
      <alignment horizontal="center" vertical="center" wrapText="1"/>
    </xf>
    <xf numFmtId="0" fontId="30" fillId="0" borderId="3" xfId="94" applyFont="1" applyBorder="1" applyAlignment="1">
      <alignment horizontal="center" vertical="center" wrapText="1"/>
    </xf>
    <xf numFmtId="0" fontId="30" fillId="0" borderId="4" xfId="94" applyFont="1" applyBorder="1" applyAlignment="1">
      <alignment horizontal="center" vertical="center" wrapText="1"/>
    </xf>
    <xf numFmtId="0" fontId="13" fillId="0" borderId="5" xfId="71" applyFont="1" applyBorder="1" applyAlignment="1">
      <alignment horizontal="center" vertical="center"/>
    </xf>
    <xf numFmtId="180" fontId="30" fillId="0" borderId="5" xfId="71" applyNumberFormat="1" applyFont="1" applyBorder="1" applyAlignment="1">
      <alignment horizontal="center" vertical="center"/>
    </xf>
    <xf numFmtId="0" fontId="30" fillId="0" borderId="2" xfId="71" applyFont="1" applyBorder="1" applyAlignment="1">
      <alignment horizontal="center" vertical="center"/>
    </xf>
    <xf numFmtId="177" fontId="30" fillId="0" borderId="2" xfId="71" applyNumberFormat="1" applyFont="1" applyBorder="1" applyAlignment="1">
      <alignment horizontal="center" vertical="center"/>
    </xf>
    <xf numFmtId="0" fontId="33" fillId="0" borderId="0" xfId="145" applyFont="1" applyAlignment="1">
      <alignment horizontal="right" vertical="center"/>
    </xf>
    <xf numFmtId="0" fontId="16" fillId="0" borderId="0" xfId="145" applyFont="1" applyAlignment="1">
      <alignment horizontal="right" vertical="center"/>
    </xf>
    <xf numFmtId="0" fontId="0" fillId="0" borderId="0" xfId="71" applyAlignment="1">
      <alignment vertical="top"/>
    </xf>
    <xf numFmtId="0" fontId="34" fillId="0" borderId="0" xfId="71" applyFont="1" applyAlignment="1">
      <alignment horizontal="left" vertical="top"/>
    </xf>
    <xf numFmtId="0" fontId="26" fillId="0" borderId="0" xfId="71" applyFont="1" applyAlignment="1">
      <alignment horizontal="left" vertical="top"/>
    </xf>
    <xf numFmtId="0" fontId="18" fillId="0" borderId="1" xfId="71" applyFont="1" applyBorder="1" applyAlignment="1">
      <alignment horizontal="center" vertical="center"/>
    </xf>
    <xf numFmtId="0" fontId="0" fillId="0" borderId="2" xfId="71" applyBorder="1" applyAlignment="1">
      <alignment horizontal="center" vertical="center"/>
    </xf>
    <xf numFmtId="0" fontId="32" fillId="0" borderId="2" xfId="174" applyFont="1" applyBorder="1" applyAlignment="1">
      <alignment horizontal="center" vertical="center"/>
    </xf>
    <xf numFmtId="0" fontId="19" fillId="0" borderId="2" xfId="174" applyFont="1" applyBorder="1" applyAlignment="1">
      <alignment horizontal="center" vertical="center"/>
    </xf>
    <xf numFmtId="0" fontId="32" fillId="0" borderId="2" xfId="173" applyFont="1" applyBorder="1" applyAlignment="1">
      <alignment horizontal="center" vertical="center"/>
    </xf>
    <xf numFmtId="0" fontId="20" fillId="0" borderId="2" xfId="173" applyFont="1" applyBorder="1" applyAlignment="1">
      <alignment horizontal="center" vertical="center"/>
    </xf>
    <xf numFmtId="0" fontId="0" fillId="0" borderId="0" xfId="71" applyAlignment="1">
      <alignment horizontal="center" vertical="center"/>
    </xf>
    <xf numFmtId="0" fontId="20" fillId="0" borderId="2" xfId="174" applyFont="1" applyBorder="1" applyAlignment="1">
      <alignment horizontal="center" vertical="center"/>
    </xf>
    <xf numFmtId="0" fontId="32" fillId="0" borderId="2" xfId="174" applyFont="1" applyBorder="1" applyAlignment="1">
      <alignment horizontal="center" vertical="center" wrapText="1"/>
    </xf>
    <xf numFmtId="0" fontId="35" fillId="0" borderId="2" xfId="159" applyFont="1" applyBorder="1" applyAlignment="1">
      <alignment horizontal="center" vertical="center"/>
    </xf>
    <xf numFmtId="0" fontId="36" fillId="0" borderId="3" xfId="174" applyFont="1" applyBorder="1" applyAlignment="1">
      <alignment horizontal="center" vertical="center"/>
    </xf>
    <xf numFmtId="0" fontId="32" fillId="0" borderId="12" xfId="174" applyFont="1" applyBorder="1" applyAlignment="1">
      <alignment horizontal="center" vertical="center"/>
    </xf>
    <xf numFmtId="0" fontId="32" fillId="0" borderId="4" xfId="174" applyFont="1" applyBorder="1" applyAlignment="1">
      <alignment horizontal="center" vertical="center"/>
    </xf>
    <xf numFmtId="0" fontId="0" fillId="0" borderId="5" xfId="173" applyBorder="1" applyAlignment="1">
      <alignment horizontal="center" vertical="center"/>
    </xf>
    <xf numFmtId="0" fontId="36" fillId="0" borderId="6" xfId="173" applyFont="1" applyBorder="1" applyAlignment="1">
      <alignment horizontal="center" vertical="center" wrapText="1"/>
    </xf>
    <xf numFmtId="0" fontId="36" fillId="0" borderId="11" xfId="173" applyFont="1" applyBorder="1" applyAlignment="1">
      <alignment horizontal="center" vertical="center" wrapText="1"/>
    </xf>
    <xf numFmtId="0" fontId="36" fillId="0" borderId="7" xfId="173" applyFont="1" applyBorder="1" applyAlignment="1">
      <alignment horizontal="center" vertical="center" wrapText="1"/>
    </xf>
    <xf numFmtId="0" fontId="27" fillId="0" borderId="13" xfId="173" applyFont="1" applyBorder="1" applyAlignment="1">
      <alignment horizontal="center" vertical="center"/>
    </xf>
    <xf numFmtId="0" fontId="36" fillId="0" borderId="14" xfId="173" applyFont="1" applyBorder="1" applyAlignment="1">
      <alignment horizontal="center" vertical="center" wrapText="1"/>
    </xf>
    <xf numFmtId="0" fontId="36" fillId="0" borderId="0" xfId="173" applyFont="1" applyBorder="1" applyAlignment="1">
      <alignment horizontal="center" vertical="center" wrapText="1"/>
    </xf>
    <xf numFmtId="0" fontId="36" fillId="0" borderId="15" xfId="173" applyFont="1" applyBorder="1" applyAlignment="1">
      <alignment horizontal="center" vertical="center" wrapText="1"/>
    </xf>
    <xf numFmtId="0" fontId="0" fillId="0" borderId="8" xfId="173" applyBorder="1" applyAlignment="1">
      <alignment horizontal="center" vertical="center"/>
    </xf>
    <xf numFmtId="0" fontId="36" fillId="0" borderId="9" xfId="173" applyFont="1" applyBorder="1" applyAlignment="1">
      <alignment horizontal="center" vertical="center" wrapText="1"/>
    </xf>
    <xf numFmtId="0" fontId="36" fillId="0" borderId="1" xfId="173" applyFont="1" applyBorder="1" applyAlignment="1">
      <alignment horizontal="center" vertical="center" wrapText="1"/>
    </xf>
    <xf numFmtId="0" fontId="36" fillId="0" borderId="10" xfId="173" applyFont="1" applyBorder="1" applyAlignment="1">
      <alignment horizontal="center" vertical="center" wrapText="1"/>
    </xf>
    <xf numFmtId="0" fontId="0" fillId="0" borderId="2" xfId="7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0" fillId="0" borderId="0" xfId="71" applyAlignment="1">
      <alignment horizontal="right" vertical="center"/>
    </xf>
    <xf numFmtId="0" fontId="0" fillId="0" borderId="11" xfId="71" applyBorder="1" applyAlignment="1">
      <alignment horizontal="center" vertical="center"/>
    </xf>
    <xf numFmtId="0" fontId="0" fillId="0" borderId="11" xfId="71" applyBorder="1" applyAlignment="1">
      <alignment horizontal="right" vertical="center"/>
    </xf>
    <xf numFmtId="0" fontId="0" fillId="0" borderId="11" xfId="71" applyFont="1" applyBorder="1" applyAlignment="1">
      <alignment horizontal="left" vertical="center"/>
    </xf>
    <xf numFmtId="0" fontId="0" fillId="0" borderId="0" xfId="71" applyBorder="1" applyAlignment="1">
      <alignment horizontal="center" vertical="center"/>
    </xf>
    <xf numFmtId="0" fontId="0" fillId="0" borderId="0" xfId="71" applyFont="1" applyAlignment="1">
      <alignment horizontal="left" vertical="center"/>
    </xf>
    <xf numFmtId="0" fontId="0" fillId="0" borderId="0" xfId="71" applyAlignment="1">
      <alignment vertical="center"/>
    </xf>
    <xf numFmtId="0" fontId="32" fillId="0" borderId="0" xfId="71" applyFont="1" applyAlignment="1">
      <alignment horizontal="left" vertical="center"/>
    </xf>
    <xf numFmtId="0" fontId="27" fillId="0" borderId="0" xfId="172" applyFont="1" applyAlignment="1">
      <alignment horizontal="right" vertical="center"/>
    </xf>
    <xf numFmtId="0" fontId="27" fillId="0" borderId="0" xfId="71" applyFont="1" applyAlignment="1">
      <alignment horizontal="right" vertical="center"/>
    </xf>
    <xf numFmtId="0" fontId="37" fillId="0" borderId="0" xfId="71" applyFont="1" applyAlignment="1">
      <alignment horizontal="center" vertical="center"/>
    </xf>
    <xf numFmtId="0" fontId="24" fillId="0" borderId="0" xfId="71" applyFont="1" applyAlignment="1">
      <alignment horizontal="left" vertical="center"/>
    </xf>
    <xf numFmtId="0" fontId="5" fillId="0" borderId="0" xfId="173" applyFont="1" applyAlignment="1">
      <alignment vertical="center"/>
    </xf>
    <xf numFmtId="0" fontId="5" fillId="0" borderId="0" xfId="173" applyFont="1">
      <alignment vertical="center"/>
    </xf>
    <xf numFmtId="0" fontId="6" fillId="0" borderId="0" xfId="71" applyFont="1" applyAlignment="1">
      <alignment horizontal="left" vertical="center"/>
    </xf>
    <xf numFmtId="0" fontId="27" fillId="0" borderId="0" xfId="173" applyFont="1">
      <alignment vertical="center"/>
    </xf>
    <xf numFmtId="49" fontId="27" fillId="0" borderId="0" xfId="107" applyNumberFormat="1" applyFont="1" applyAlignment="1">
      <alignment horizontal="left" vertical="center"/>
    </xf>
  </cellXfs>
  <cellStyles count="19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60% - 强调文字颜色 3" xfId="14" builtinId="40"/>
    <cellStyle name="超链接" xfId="15" builtinId="8"/>
    <cellStyle name="常规 11 3 3" xfId="16"/>
    <cellStyle name="百分比" xfId="17" builtinId="5"/>
    <cellStyle name="常规 11 2 3" xfId="18"/>
    <cellStyle name="已访问的超链接" xfId="19" builtinId="9"/>
    <cellStyle name="注释" xfId="20" builtinId="10"/>
    <cellStyle name="常规 6" xfId="21"/>
    <cellStyle name="60% - 强调文字颜色 2" xfId="22" builtinId="36"/>
    <cellStyle name="标题 4" xfId="23" builtinId="19"/>
    <cellStyle name="警告文本" xfId="24" builtinId="11"/>
    <cellStyle name="标题" xfId="25" builtinId="15"/>
    <cellStyle name="常规 5 2" xfId="26"/>
    <cellStyle name="解释性文本" xfId="27" builtinId="53"/>
    <cellStyle name="常规 13 2 3 2" xfId="28"/>
    <cellStyle name="标题 1" xfId="29" builtinId="16"/>
    <cellStyle name="标题 2" xfId="30" builtinId="17"/>
    <cellStyle name="常规 5 2 2" xfId="31"/>
    <cellStyle name="标题 3" xfId="32" builtinId="18"/>
    <cellStyle name="常规 5 2 3" xfId="33"/>
    <cellStyle name="60% - 强调文字颜色 1" xfId="34" builtinId="32"/>
    <cellStyle name="60% - 强调文字颜色 4" xfId="35" builtinId="44"/>
    <cellStyle name="输出" xfId="36" builtinId="21"/>
    <cellStyle name="计算" xfId="37" builtinId="22"/>
    <cellStyle name="检查单元格" xfId="38" builtinId="23"/>
    <cellStyle name="强调文字颜色 2" xfId="39" builtinId="33"/>
    <cellStyle name="常规 2 2 2 5" xfId="40"/>
    <cellStyle name="20% - 强调文字颜色 6" xfId="41" builtinId="50"/>
    <cellStyle name="链接单元格" xfId="42" builtinId="24"/>
    <cellStyle name="汇总" xfId="43" builtinId="25"/>
    <cellStyle name="好" xfId="44" builtinId="26"/>
    <cellStyle name="适中" xfId="45" builtinId="28"/>
    <cellStyle name="强调文字颜色 1" xfId="46" builtinId="29"/>
    <cellStyle name="常规 2 2 2 4" xfId="47"/>
    <cellStyle name="20% - 强调文字颜色 5" xfId="48" builtinId="46"/>
    <cellStyle name="20% - 强调文字颜色 1" xfId="49" builtinId="30"/>
    <cellStyle name="40% - 强调文字颜色 1" xfId="50" builtinId="31"/>
    <cellStyle name="20% - 强调文字颜色 2" xfId="51" builtinId="34"/>
    <cellStyle name="40% - 强调文字颜色 2" xfId="52" builtinId="35"/>
    <cellStyle name="强调文字颜色 3" xfId="53" builtinId="37"/>
    <cellStyle name="常规 2 2 2 6" xfId="54"/>
    <cellStyle name="常规 11 2 2 2" xfId="55"/>
    <cellStyle name="常规 2 2 2 7" xfId="56"/>
    <cellStyle name="强调文字颜色 4" xfId="57" builtinId="41"/>
    <cellStyle name="20% - 强调文字颜色 4" xfId="58" builtinId="42"/>
    <cellStyle name="40% - 强调文字颜色 4" xfId="59" builtinId="43"/>
    <cellStyle name="强调文字颜色 5" xfId="60" builtinId="45"/>
    <cellStyle name="40% - 强调文字颜色 5" xfId="61" builtinId="47"/>
    <cellStyle name="常规 13 2 2 2" xfId="62"/>
    <cellStyle name="60% - 强调文字颜色 5" xfId="63" builtinId="48"/>
    <cellStyle name="强调文字颜色 6" xfId="64" builtinId="49"/>
    <cellStyle name="40% - 强调文字颜色 6" xfId="65" builtinId="51"/>
    <cellStyle name="常规 2 4 5 2 2" xfId="66"/>
    <cellStyle name="60% - 强调文字颜色 6" xfId="67" builtinId="52"/>
    <cellStyle name="常规 11" xfId="68"/>
    <cellStyle name="常规 13" xfId="69"/>
    <cellStyle name="常规 11 2" xfId="70"/>
    <cellStyle name="常规 5 3 8" xfId="71"/>
    <cellStyle name="常规 11 2 3 2" xfId="72"/>
    <cellStyle name="常规 11 2 3 3" xfId="73"/>
    <cellStyle name="常规 11 2 3 4" xfId="74"/>
    <cellStyle name="常规 11 2 3 6" xfId="75"/>
    <cellStyle name="常规 11 3" xfId="76"/>
    <cellStyle name="常规 5 3 9" xfId="77"/>
    <cellStyle name="常规 5 3 9 2" xfId="78"/>
    <cellStyle name="常规 11 3 2" xfId="79"/>
    <cellStyle name="常规 11 4" xfId="80"/>
    <cellStyle name="常规 13 2 2" xfId="81"/>
    <cellStyle name="常规 13 2 3" xfId="82"/>
    <cellStyle name="常规 2" xfId="83"/>
    <cellStyle name="常规 2 10 2" xfId="84"/>
    <cellStyle name="常规 2 2" xfId="85"/>
    <cellStyle name="常规 2 2 2" xfId="86"/>
    <cellStyle name="常规 2 2 2 2" xfId="87"/>
    <cellStyle name="常规 2 2 2 3" xfId="88"/>
    <cellStyle name="常规 2 2 2 4 2" xfId="89"/>
    <cellStyle name="常规 2 6 4" xfId="90"/>
    <cellStyle name="常规 2 2 3" xfId="91"/>
    <cellStyle name="常规 2 2 3 2" xfId="92"/>
    <cellStyle name="常规 2 2 5" xfId="93"/>
    <cellStyle name="常规 2 2 6" xfId="94"/>
    <cellStyle name="常规 2 2 7" xfId="95"/>
    <cellStyle name="常规 2 3" xfId="96"/>
    <cellStyle name="常规 2 9 2" xfId="97"/>
    <cellStyle name="常规 2 4" xfId="98"/>
    <cellStyle name="常规 2 4 2" xfId="99"/>
    <cellStyle name="常规 2 4 5 5" xfId="100"/>
    <cellStyle name="常规 2 4 2 2" xfId="101"/>
    <cellStyle name="常规 2 4 2 3" xfId="102"/>
    <cellStyle name="常规 2 4 2 3 2" xfId="103"/>
    <cellStyle name="常规 2 4 2 3 2 2" xfId="104"/>
    <cellStyle name="常规 2 4 2 3 2 2 2" xfId="105"/>
    <cellStyle name="常规 5 2 2 5 3" xfId="106"/>
    <cellStyle name="常规 5 2 2 8" xfId="107"/>
    <cellStyle name="常规 2 4 2 4" xfId="108"/>
    <cellStyle name="常规 2 4 2 5" xfId="109"/>
    <cellStyle name="常规 2 4 2 5 2" xfId="110"/>
    <cellStyle name="常规 2 4 2 5 2 2" xfId="111"/>
    <cellStyle name="常规 2 4 2 5 3" xfId="112"/>
    <cellStyle name="常规 2 4 3" xfId="113"/>
    <cellStyle name="常规 2 4 5 6" xfId="114"/>
    <cellStyle name="常规 2 4 3 2" xfId="115"/>
    <cellStyle name="常规 2 4 3 3" xfId="116"/>
    <cellStyle name="常规 2 4 4" xfId="117"/>
    <cellStyle name="常规 2 4 5 7" xfId="118"/>
    <cellStyle name="常规 2 4 4 2" xfId="119"/>
    <cellStyle name="常规 2 4 5" xfId="120"/>
    <cellStyle name="常规 2 4 5 2" xfId="121"/>
    <cellStyle name="常规 2 4 5 2 3" xfId="122"/>
    <cellStyle name="常规 2 4 5 3" xfId="123"/>
    <cellStyle name="常规 2 4 5 3 2" xfId="124"/>
    <cellStyle name="常规 2 4 5 3 3" xfId="125"/>
    <cellStyle name="常规 2 4 5 4" xfId="126"/>
    <cellStyle name="常规 2 4 5 4 2" xfId="127"/>
    <cellStyle name="常规 2 4 5 4 2 2" xfId="128"/>
    <cellStyle name="常规 2 4 5 4 2 3" xfId="129"/>
    <cellStyle name="常规 2 4 5 4 2 4" xfId="130"/>
    <cellStyle name="常规 5 2 2 2 2" xfId="131"/>
    <cellStyle name="常规 2 4 6" xfId="132"/>
    <cellStyle name="常规 2 4 6 2" xfId="133"/>
    <cellStyle name="常规 2 4 7" xfId="134"/>
    <cellStyle name="常规 2 4 7 2" xfId="135"/>
    <cellStyle name="常规 2 4 7 2 2" xfId="136"/>
    <cellStyle name="常规 2 4 8" xfId="137"/>
    <cellStyle name="常规 2 4 8 2" xfId="138"/>
    <cellStyle name="常规 2 4 8 2 2" xfId="139"/>
    <cellStyle name="常规 2 5" xfId="140"/>
    <cellStyle name="常规 2 5 2" xfId="141"/>
    <cellStyle name="常规 2 5 3" xfId="142"/>
    <cellStyle name="常规 2 5 4" xfId="143"/>
    <cellStyle name="常规 2 5 5" xfId="144"/>
    <cellStyle name="常规 2 5 6" xfId="145"/>
    <cellStyle name="常规 2 5 7" xfId="146"/>
    <cellStyle name="常规 2 6" xfId="147"/>
    <cellStyle name="常规 2 6 2" xfId="148"/>
    <cellStyle name="常规 2 6 2 2" xfId="149"/>
    <cellStyle name="常规 2 6 3" xfId="150"/>
    <cellStyle name="常规 2 6 5" xfId="151"/>
    <cellStyle name="常规 2 6 6" xfId="152"/>
    <cellStyle name="常规 2 7" xfId="153"/>
    <cellStyle name="常规 2 7 2" xfId="154"/>
    <cellStyle name="常规 2 8" xfId="155"/>
    <cellStyle name="常规 2 8 2" xfId="156"/>
    <cellStyle name="常规 2 9" xfId="157"/>
    <cellStyle name="常规 2 9 2 2" xfId="158"/>
    <cellStyle name="常规 3" xfId="159"/>
    <cellStyle name="常规 3 2" xfId="160"/>
    <cellStyle name="常规 3 3" xfId="161"/>
    <cellStyle name="常规 3 4" xfId="162"/>
    <cellStyle name="常规 4" xfId="163"/>
    <cellStyle name="常规 4 2" xfId="164"/>
    <cellStyle name="常规 4 3" xfId="165"/>
    <cellStyle name="常规 5" xfId="166"/>
    <cellStyle name="常规 5 2 2 2" xfId="167"/>
    <cellStyle name="常规 5 2 2 3" xfId="168"/>
    <cellStyle name="常规 5 2 2 4" xfId="169"/>
    <cellStyle name="常规 5 2 2 5" xfId="170"/>
    <cellStyle name="常规 5 2 2 5 2" xfId="171"/>
    <cellStyle name="常规 5 2 2 7" xfId="172"/>
    <cellStyle name="常规 5 2 2 5 4" xfId="173"/>
    <cellStyle name="常规 5 2 2 6" xfId="174"/>
    <cellStyle name="常规 5 3" xfId="175"/>
    <cellStyle name="常规 5 3 2" xfId="176"/>
    <cellStyle name="常规 5 3 3" xfId="177"/>
    <cellStyle name="常规 5 3 4" xfId="178"/>
    <cellStyle name="常规 5 3 5" xfId="179"/>
    <cellStyle name="常规 5 3 6" xfId="180"/>
    <cellStyle name="常规 5 3 6 2" xfId="181"/>
    <cellStyle name="常规 5 3 7" xfId="182"/>
    <cellStyle name="常规 5 4" xfId="183"/>
    <cellStyle name="常规 5 5" xfId="184"/>
    <cellStyle name="常规 5 6" xfId="185"/>
    <cellStyle name="常规 5 6 2" xfId="186"/>
    <cellStyle name="常规 5 6 3" xfId="187"/>
    <cellStyle name="常规 5 6 4" xfId="188"/>
    <cellStyle name="常规 5 7" xfId="189"/>
    <cellStyle name="常规 6 2" xfId="190"/>
    <cellStyle name="常规 6 2 2" xfId="191"/>
    <cellStyle name="货币 2" xfId="192"/>
    <cellStyle name="常规_111 2" xfId="19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9524</xdr:colOff>
      <xdr:row>15</xdr:row>
      <xdr:rowOff>209550</xdr:rowOff>
    </xdr:from>
    <xdr:to>
      <xdr:col>2</xdr:col>
      <xdr:colOff>89399</xdr:colOff>
      <xdr:row>15</xdr:row>
      <xdr:rowOff>697550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1" cstate="print">
          <a:lum bright="-35000" contrast="65000"/>
        </a:blip>
        <a:srcRect/>
        <a:stretch>
          <a:fillRect/>
        </a:stretch>
      </xdr:blipFill>
      <xdr:spPr>
        <a:xfrm>
          <a:off x="1151890" y="7256780"/>
          <a:ext cx="1232535" cy="487680"/>
        </a:xfrm>
        <a:prstGeom prst="rect">
          <a:avLst/>
        </a:prstGeom>
        <a:noFill/>
        <a:ln>
          <a:noFill/>
        </a:ln>
        <a:effectLst>
          <a:softEdge rad="25400"/>
        </a:effectLst>
        <a:scene3d>
          <a:camera prst="orthographicFront"/>
          <a:lightRig rig="threePt" dir="t"/>
        </a:scene3d>
        <a:sp3d>
          <a:contourClr>
            <a:schemeClr val="bg1"/>
          </a:contourClr>
        </a:sp3d>
      </xdr:spPr>
    </xdr:pic>
    <xdr:clientData/>
  </xdr:twoCellAnchor>
  <xdr:twoCellAnchor>
    <xdr:from>
      <xdr:col>1</xdr:col>
      <xdr:colOff>76200</xdr:colOff>
      <xdr:row>14</xdr:row>
      <xdr:rowOff>266700</xdr:rowOff>
    </xdr:from>
    <xdr:to>
      <xdr:col>2</xdr:col>
      <xdr:colOff>3175</xdr:colOff>
      <xdr:row>14</xdr:row>
      <xdr:rowOff>669290</xdr:rowOff>
    </xdr:to>
    <xdr:pic>
      <xdr:nvPicPr>
        <xdr:cNvPr id="4" name="图片 3" descr="E:\胡晓玲\个人\胡晓玲.jpg胡晓玲"/>
        <xdr:cNvPicPr/>
      </xdr:nvPicPr>
      <xdr:blipFill>
        <a:blip r:embed="rId2">
          <a:lum bright="-17000" contrast="77000"/>
        </a:blip>
        <a:srcRect/>
        <a:stretch>
          <a:fillRect/>
        </a:stretch>
      </xdr:blipFill>
      <xdr:spPr>
        <a:xfrm>
          <a:off x="1219200" y="6425565"/>
          <a:ext cx="1079500" cy="402590"/>
        </a:xfrm>
        <a:prstGeom prst="rect">
          <a:avLst/>
        </a:prstGeom>
        <a:noFill/>
        <a:ln>
          <a:noFill/>
        </a:ln>
        <a:effectLst>
          <a:softEdge rad="12700"/>
        </a:effectLst>
        <a:scene3d>
          <a:camera prst="orthographicFront"/>
          <a:lightRig rig="threePt" dir="t"/>
        </a:scene3d>
        <a:sp3d>
          <a:contourClr>
            <a:schemeClr val="bg1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9524</xdr:colOff>
      <xdr:row>15</xdr:row>
      <xdr:rowOff>209550</xdr:rowOff>
    </xdr:from>
    <xdr:to>
      <xdr:col>2</xdr:col>
      <xdr:colOff>89399</xdr:colOff>
      <xdr:row>15</xdr:row>
      <xdr:rowOff>697550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 cstate="print">
          <a:lum bright="-35000" contrast="65000"/>
        </a:blip>
        <a:srcRect/>
        <a:stretch>
          <a:fillRect/>
        </a:stretch>
      </xdr:blipFill>
      <xdr:spPr>
        <a:xfrm>
          <a:off x="1151890" y="7359650"/>
          <a:ext cx="1232535" cy="487680"/>
        </a:xfrm>
        <a:prstGeom prst="rect">
          <a:avLst/>
        </a:prstGeom>
        <a:noFill/>
        <a:ln>
          <a:noFill/>
        </a:ln>
        <a:effectLst>
          <a:softEdge rad="25400"/>
        </a:effectLst>
      </xdr:spPr>
    </xdr:pic>
    <xdr:clientData/>
  </xdr:twoCellAnchor>
  <xdr:twoCellAnchor>
    <xdr:from>
      <xdr:col>1</xdr:col>
      <xdr:colOff>9524</xdr:colOff>
      <xdr:row>15</xdr:row>
      <xdr:rowOff>209550</xdr:rowOff>
    </xdr:from>
    <xdr:to>
      <xdr:col>2</xdr:col>
      <xdr:colOff>89399</xdr:colOff>
      <xdr:row>15</xdr:row>
      <xdr:rowOff>697550</xdr:rowOff>
    </xdr:to>
    <xdr:pic>
      <xdr:nvPicPr>
        <xdr:cNvPr id="3" name="图片 6"/>
        <xdr:cNvPicPr>
          <a:picLocks noChangeAspect="1" noChangeArrowheads="1"/>
        </xdr:cNvPicPr>
      </xdr:nvPicPr>
      <xdr:blipFill>
        <a:blip r:embed="rId1" cstate="print">
          <a:lum bright="-35000" contrast="65000"/>
        </a:blip>
        <a:srcRect/>
        <a:stretch>
          <a:fillRect/>
        </a:stretch>
      </xdr:blipFill>
      <xdr:spPr>
        <a:xfrm>
          <a:off x="1151890" y="7359650"/>
          <a:ext cx="1232535" cy="487680"/>
        </a:xfrm>
        <a:prstGeom prst="rect">
          <a:avLst/>
        </a:prstGeom>
        <a:noFill/>
        <a:ln>
          <a:noFill/>
        </a:ln>
        <a:effectLst>
          <a:softEdge rad="25400"/>
        </a:effectLst>
      </xdr:spPr>
    </xdr:pic>
    <xdr:clientData/>
  </xdr:twoCellAnchor>
  <xdr:twoCellAnchor>
    <xdr:from>
      <xdr:col>1</xdr:col>
      <xdr:colOff>9524</xdr:colOff>
      <xdr:row>15</xdr:row>
      <xdr:rowOff>209550</xdr:rowOff>
    </xdr:from>
    <xdr:to>
      <xdr:col>2</xdr:col>
      <xdr:colOff>89399</xdr:colOff>
      <xdr:row>15</xdr:row>
      <xdr:rowOff>697550</xdr:rowOff>
    </xdr:to>
    <xdr:pic>
      <xdr:nvPicPr>
        <xdr:cNvPr id="4" name="图片 8"/>
        <xdr:cNvPicPr>
          <a:picLocks noChangeAspect="1" noChangeArrowheads="1"/>
        </xdr:cNvPicPr>
      </xdr:nvPicPr>
      <xdr:blipFill>
        <a:blip r:embed="rId1" cstate="print">
          <a:lum bright="-35000" contrast="65000"/>
        </a:blip>
        <a:srcRect/>
        <a:stretch>
          <a:fillRect/>
        </a:stretch>
      </xdr:blipFill>
      <xdr:spPr>
        <a:xfrm>
          <a:off x="1151890" y="7359650"/>
          <a:ext cx="1232535" cy="487680"/>
        </a:xfrm>
        <a:prstGeom prst="rect">
          <a:avLst/>
        </a:prstGeom>
        <a:noFill/>
        <a:ln>
          <a:noFill/>
        </a:ln>
        <a:effectLst>
          <a:softEdge rad="25400"/>
        </a:effectLst>
        <a:scene3d>
          <a:camera prst="orthographicFront"/>
          <a:lightRig rig="threePt" dir="t"/>
        </a:scene3d>
        <a:sp3d>
          <a:contourClr>
            <a:schemeClr val="bg1"/>
          </a:contourClr>
        </a:sp3d>
      </xdr:spPr>
    </xdr:pic>
    <xdr:clientData/>
  </xdr:twoCellAnchor>
  <xdr:twoCellAnchor editAs="oneCell">
    <xdr:from>
      <xdr:col>1</xdr:col>
      <xdr:colOff>27940</xdr:colOff>
      <xdr:row>14</xdr:row>
      <xdr:rowOff>229235</xdr:rowOff>
    </xdr:from>
    <xdr:to>
      <xdr:col>2</xdr:col>
      <xdr:colOff>264795</xdr:colOff>
      <xdr:row>14</xdr:row>
      <xdr:rowOff>715010</xdr:rowOff>
    </xdr:to>
    <xdr:pic>
      <xdr:nvPicPr>
        <xdr:cNvPr id="5" name="图片 7" descr="胡晓玲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0940" y="6490970"/>
          <a:ext cx="1389380" cy="485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B22" sqref="B22"/>
    </sheetView>
  </sheetViews>
  <sheetFormatPr defaultColWidth="9" defaultRowHeight="13.5" outlineLevelCol="4"/>
  <cols>
    <col min="1" max="1" width="30.625" style="141" customWidth="1"/>
    <col min="2" max="2" width="18.625" style="141" customWidth="1"/>
    <col min="3" max="3" width="48.625" style="141" customWidth="1"/>
    <col min="4" max="16384" width="9" style="141"/>
  </cols>
  <sheetData>
    <row r="1" ht="30" customHeight="1" spans="2:3">
      <c r="B1" s="283" t="s">
        <v>0</v>
      </c>
      <c r="C1" s="283"/>
    </row>
    <row r="2" ht="30" customHeight="1" spans="2:3">
      <c r="B2" s="284" t="s">
        <v>1</v>
      </c>
      <c r="C2" s="284"/>
    </row>
    <row r="3" ht="95.1" customHeight="1" spans="2:3">
      <c r="B3" s="253"/>
      <c r="C3" s="253"/>
    </row>
    <row r="4" ht="69.95" customHeight="1" spans="1:5">
      <c r="A4" s="285" t="s">
        <v>2</v>
      </c>
      <c r="B4" s="285"/>
      <c r="C4" s="285"/>
      <c r="E4" s="146" t="s">
        <v>3</v>
      </c>
    </row>
    <row r="5" ht="69.95" customHeight="1" spans="1:3">
      <c r="A5" s="285" t="s">
        <v>4</v>
      </c>
      <c r="B5" s="285"/>
      <c r="C5" s="285"/>
    </row>
    <row r="6" ht="69.95" customHeight="1" spans="1:3">
      <c r="A6" s="285" t="s">
        <v>5</v>
      </c>
      <c r="B6" s="285"/>
      <c r="C6" s="285"/>
    </row>
    <row r="7" ht="78.75" customHeight="1" spans="2:3">
      <c r="B7" s="285"/>
      <c r="C7" s="285"/>
    </row>
    <row r="8" ht="30" customHeight="1" spans="2:3">
      <c r="B8" s="286" t="s">
        <v>6</v>
      </c>
      <c r="C8" s="287" t="s">
        <v>7</v>
      </c>
    </row>
    <row r="9" ht="30" customHeight="1" spans="2:3">
      <c r="B9" s="286" t="s">
        <v>8</v>
      </c>
      <c r="C9" s="288" t="s">
        <v>9</v>
      </c>
    </row>
    <row r="10" ht="30" customHeight="1" spans="2:3">
      <c r="B10" s="289" t="s">
        <v>10</v>
      </c>
      <c r="C10" s="290" t="s">
        <v>11</v>
      </c>
    </row>
    <row r="11" ht="30" customHeight="1" spans="2:3">
      <c r="B11" s="289" t="s">
        <v>12</v>
      </c>
      <c r="C11" s="29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D8" sqref="D8"/>
    </sheetView>
  </sheetViews>
  <sheetFormatPr defaultColWidth="9" defaultRowHeight="13.5" outlineLevelCol="7"/>
  <cols>
    <col min="1" max="1" width="15" style="141" customWidth="1"/>
    <col min="2" max="2" width="15.125" style="141" customWidth="1"/>
    <col min="3" max="3" width="18.625" style="141" customWidth="1"/>
    <col min="4" max="4" width="15.125" style="141" customWidth="1"/>
    <col min="5" max="5" width="20.625" style="141" customWidth="1"/>
    <col min="6" max="16384" width="9" style="141"/>
  </cols>
  <sheetData>
    <row r="1" s="244" customFormat="1" ht="50.1" customHeight="1" spans="1:5">
      <c r="A1" s="245" t="s">
        <v>14</v>
      </c>
      <c r="B1" s="246"/>
      <c r="C1" s="246"/>
      <c r="D1" s="246"/>
      <c r="E1" s="142" t="s">
        <v>15</v>
      </c>
    </row>
    <row r="2" ht="39" customHeight="1" spans="1:5">
      <c r="A2" s="247" t="s">
        <v>16</v>
      </c>
      <c r="B2" s="247"/>
      <c r="C2" s="247"/>
      <c r="D2" s="247"/>
      <c r="E2" s="247"/>
    </row>
    <row r="3" ht="38.25" customHeight="1" spans="1:8">
      <c r="A3" s="248" t="s">
        <v>17</v>
      </c>
      <c r="B3" s="249" t="s">
        <v>18</v>
      </c>
      <c r="C3" s="250" t="s">
        <v>19</v>
      </c>
      <c r="D3" s="251" t="s">
        <v>20</v>
      </c>
      <c r="E3" s="252" t="s">
        <v>21</v>
      </c>
      <c r="F3" s="253"/>
      <c r="G3" s="253"/>
      <c r="H3" s="253"/>
    </row>
    <row r="4" ht="38.25" customHeight="1" spans="1:8">
      <c r="A4" s="248"/>
      <c r="B4" s="249" t="s">
        <v>22</v>
      </c>
      <c r="C4" s="254" t="s">
        <v>23</v>
      </c>
      <c r="D4" s="252" t="s">
        <v>24</v>
      </c>
      <c r="E4" s="249" t="s">
        <v>25</v>
      </c>
      <c r="F4" s="253"/>
      <c r="G4" s="253"/>
      <c r="H4" s="253"/>
    </row>
    <row r="5" ht="38.25" customHeight="1" spans="1:8">
      <c r="A5" s="248"/>
      <c r="B5" s="255" t="s">
        <v>26</v>
      </c>
      <c r="C5" s="251" t="s">
        <v>27</v>
      </c>
      <c r="D5" s="251" t="s">
        <v>28</v>
      </c>
      <c r="E5" s="249" t="s">
        <v>25</v>
      </c>
      <c r="F5" s="253"/>
      <c r="G5" s="253"/>
      <c r="H5" s="253"/>
    </row>
    <row r="6" ht="38.25" customHeight="1" spans="1:8">
      <c r="A6" s="248"/>
      <c r="B6" s="249" t="s">
        <v>29</v>
      </c>
      <c r="C6" s="252" t="s">
        <v>30</v>
      </c>
      <c r="D6" s="251"/>
      <c r="E6" s="251"/>
      <c r="F6" s="253"/>
      <c r="G6" s="253"/>
      <c r="H6" s="253"/>
    </row>
    <row r="7" ht="38.25" customHeight="1" spans="1:8">
      <c r="A7" s="248"/>
      <c r="B7" s="249" t="s">
        <v>31</v>
      </c>
      <c r="C7" s="254" t="s">
        <v>32</v>
      </c>
      <c r="D7" s="249"/>
      <c r="E7" s="249"/>
      <c r="F7" s="253"/>
      <c r="G7" s="253"/>
      <c r="H7" s="253"/>
    </row>
    <row r="8" ht="38.25" customHeight="1" spans="1:8">
      <c r="A8" s="248"/>
      <c r="B8" s="254" t="s">
        <v>33</v>
      </c>
      <c r="C8" s="249" t="s">
        <v>34</v>
      </c>
      <c r="D8" s="249" t="s">
        <v>35</v>
      </c>
      <c r="E8" s="256" t="s">
        <v>36</v>
      </c>
      <c r="F8" s="253"/>
      <c r="G8" s="253"/>
      <c r="H8" s="253"/>
    </row>
    <row r="9" ht="38.25" customHeight="1" spans="1:8">
      <c r="A9" s="248"/>
      <c r="B9" s="249" t="s">
        <v>37</v>
      </c>
      <c r="C9" s="257" t="s">
        <v>38</v>
      </c>
      <c r="D9" s="258"/>
      <c r="E9" s="259"/>
      <c r="F9" s="253"/>
      <c r="G9" s="253"/>
      <c r="H9" s="253"/>
    </row>
    <row r="10" ht="15" customHeight="1" spans="1:8">
      <c r="A10" s="248"/>
      <c r="B10" s="260" t="s">
        <v>39</v>
      </c>
      <c r="C10" s="261" t="s">
        <v>40</v>
      </c>
      <c r="D10" s="262"/>
      <c r="E10" s="263"/>
      <c r="F10" s="253"/>
      <c r="G10" s="253"/>
      <c r="H10" s="253"/>
    </row>
    <row r="11" ht="15" customHeight="1" spans="1:8">
      <c r="A11" s="248"/>
      <c r="B11" s="264"/>
      <c r="C11" s="265"/>
      <c r="D11" s="266"/>
      <c r="E11" s="267"/>
      <c r="F11" s="253"/>
      <c r="G11" s="253"/>
      <c r="H11" s="253"/>
    </row>
    <row r="12" ht="15" customHeight="1" spans="1:8">
      <c r="A12" s="248"/>
      <c r="B12" s="268"/>
      <c r="C12" s="269"/>
      <c r="D12" s="270"/>
      <c r="E12" s="271"/>
      <c r="F12" s="253"/>
      <c r="G12" s="253"/>
      <c r="H12" s="253"/>
    </row>
    <row r="13" ht="45" customHeight="1" spans="1:8">
      <c r="A13" s="272" t="s">
        <v>41</v>
      </c>
      <c r="B13" s="273" t="s">
        <v>42</v>
      </c>
      <c r="C13" s="274"/>
      <c r="D13" s="274"/>
      <c r="E13" s="274"/>
      <c r="F13" s="253"/>
      <c r="G13" s="253"/>
      <c r="H13" s="253"/>
    </row>
    <row r="14" ht="38.1" customHeight="1" spans="1:8">
      <c r="A14" s="248" t="s">
        <v>43</v>
      </c>
      <c r="B14" s="251" t="s">
        <v>44</v>
      </c>
      <c r="C14" s="251"/>
      <c r="D14" s="251"/>
      <c r="E14" s="251"/>
      <c r="F14" s="253"/>
      <c r="G14" s="253"/>
      <c r="H14" s="253"/>
    </row>
    <row r="15" ht="69.95" customHeight="1" spans="1:8">
      <c r="A15" s="275" t="s">
        <v>45</v>
      </c>
      <c r="B15" s="276"/>
      <c r="C15" s="277"/>
      <c r="D15" s="278" t="s">
        <v>46</v>
      </c>
      <c r="E15" s="278"/>
      <c r="F15" s="253"/>
      <c r="G15" s="253"/>
      <c r="H15" s="253"/>
    </row>
    <row r="16" ht="69.95" customHeight="1" spans="1:8">
      <c r="A16" s="275" t="s">
        <v>47</v>
      </c>
      <c r="B16" s="279"/>
      <c r="C16" s="279"/>
      <c r="D16" s="280"/>
      <c r="E16" s="280"/>
      <c r="F16" s="253"/>
      <c r="G16" s="253"/>
      <c r="H16" s="253"/>
    </row>
    <row r="17" ht="50.1" customHeight="1" spans="1:8">
      <c r="A17" s="275" t="s">
        <v>48</v>
      </c>
      <c r="B17" s="253"/>
      <c r="C17" s="275"/>
      <c r="D17" s="253" t="s">
        <v>49</v>
      </c>
      <c r="E17" s="281"/>
      <c r="F17" s="253"/>
      <c r="G17" s="253"/>
      <c r="H17" s="253"/>
    </row>
    <row r="18" spans="1:8">
      <c r="A18" s="275"/>
      <c r="B18" s="253"/>
      <c r="C18" s="275"/>
      <c r="D18" s="253"/>
      <c r="E18" s="281"/>
      <c r="F18" s="253"/>
      <c r="G18" s="253"/>
      <c r="H18" s="253"/>
    </row>
    <row r="19" ht="15" spans="1:8">
      <c r="A19" s="282" t="s">
        <v>50</v>
      </c>
      <c r="B19" s="282"/>
      <c r="C19" s="282"/>
      <c r="D19" s="253"/>
      <c r="E19" s="253"/>
      <c r="F19" s="253"/>
      <c r="G19" s="253"/>
      <c r="H19" s="253"/>
    </row>
    <row r="20" spans="1:8">
      <c r="A20" s="253"/>
      <c r="B20" s="253"/>
      <c r="C20" s="253"/>
      <c r="D20" s="253"/>
      <c r="E20" s="253"/>
      <c r="F20" s="253"/>
      <c r="G20" s="253"/>
      <c r="H20" s="253"/>
    </row>
    <row r="21" spans="1:8">
      <c r="A21" s="253"/>
      <c r="B21" s="253"/>
      <c r="C21" s="253"/>
      <c r="D21" s="253"/>
      <c r="E21" s="253"/>
      <c r="F21" s="253"/>
      <c r="G21" s="253"/>
      <c r="H21" s="253"/>
    </row>
    <row r="22" spans="1:8">
      <c r="A22" s="253"/>
      <c r="B22" s="253"/>
      <c r="C22" s="253"/>
      <c r="D22" s="253"/>
      <c r="E22" s="253"/>
      <c r="F22" s="253"/>
      <c r="G22" s="253"/>
      <c r="H22" s="253"/>
    </row>
    <row r="23" spans="1:8">
      <c r="A23" s="253"/>
      <c r="B23" s="253"/>
      <c r="C23" s="253"/>
      <c r="D23" s="253"/>
      <c r="E23" s="253"/>
      <c r="F23" s="253"/>
      <c r="G23" s="253"/>
      <c r="H23" s="253"/>
    </row>
    <row r="24" spans="1:8">
      <c r="A24" s="253"/>
      <c r="B24" s="253"/>
      <c r="C24" s="253"/>
      <c r="D24" s="253"/>
      <c r="E24" s="253"/>
      <c r="F24" s="253"/>
      <c r="G24" s="253"/>
      <c r="H24" s="253"/>
    </row>
    <row r="25" spans="1:8">
      <c r="A25" s="253"/>
      <c r="B25" s="253"/>
      <c r="C25" s="253"/>
      <c r="D25" s="253"/>
      <c r="E25" s="253"/>
      <c r="F25" s="253"/>
      <c r="G25" s="253"/>
      <c r="H25" s="253"/>
    </row>
    <row r="26" spans="1:8">
      <c r="A26" s="253"/>
      <c r="B26" s="253"/>
      <c r="C26" s="253"/>
      <c r="D26" s="253"/>
      <c r="E26" s="253"/>
      <c r="F26" s="253"/>
      <c r="G26" s="253"/>
      <c r="H26" s="253"/>
    </row>
    <row r="27" spans="1:8">
      <c r="A27" s="253"/>
      <c r="B27" s="253"/>
      <c r="C27" s="253"/>
      <c r="D27" s="253"/>
      <c r="E27" s="253"/>
      <c r="F27" s="253"/>
      <c r="G27" s="253"/>
      <c r="H27" s="253"/>
    </row>
    <row r="28" spans="1:8">
      <c r="A28" s="253"/>
      <c r="B28" s="253"/>
      <c r="C28" s="253"/>
      <c r="D28" s="253"/>
      <c r="E28" s="253"/>
      <c r="F28" s="253"/>
      <c r="G28" s="253"/>
      <c r="H28" s="253"/>
    </row>
    <row r="29" spans="1:8">
      <c r="A29" s="253"/>
      <c r="B29" s="253"/>
      <c r="C29" s="253"/>
      <c r="D29" s="253"/>
      <c r="E29" s="253"/>
      <c r="F29" s="253"/>
      <c r="G29" s="253"/>
      <c r="H29" s="253"/>
    </row>
    <row r="30" spans="1:8">
      <c r="A30" s="253"/>
      <c r="B30" s="253"/>
      <c r="C30" s="253"/>
      <c r="D30" s="253"/>
      <c r="E30" s="253"/>
      <c r="F30" s="253"/>
      <c r="G30" s="253"/>
      <c r="H30" s="25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D15:E16"/>
    <mergeCell ref="C10:E12"/>
  </mergeCells>
  <pageMargins left="0.78740157480315" right="0.393700787401575" top="0.748031496062992" bottom="0.748031496062992" header="0.31496062992126" footer="0.31496062992126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D30" sqref="D30"/>
    </sheetView>
  </sheetViews>
  <sheetFormatPr defaultColWidth="9" defaultRowHeight="14.25" outlineLevelCol="6"/>
  <cols>
    <col min="1" max="1" width="5" style="215" customWidth="1"/>
    <col min="2" max="2" width="18.75" style="215" customWidth="1"/>
    <col min="3" max="3" width="8.375" style="215" customWidth="1"/>
    <col min="4" max="4" width="13.375" style="215" customWidth="1"/>
    <col min="5" max="5" width="18.625" style="215" customWidth="1"/>
    <col min="6" max="6" width="10.875" style="215" customWidth="1"/>
    <col min="7" max="7" width="17.625" style="215" customWidth="1"/>
    <col min="8" max="16384" width="9" style="215"/>
  </cols>
  <sheetData>
    <row r="1" s="214" customFormat="1" ht="50.1" customHeight="1" spans="1:7">
      <c r="A1" s="157" t="str">
        <f>出2!A1</f>
        <v>国家城市供水水质监测网重庆监测站 ( 06 )字( 2025 )第( 220 )号</v>
      </c>
      <c r="B1" s="157"/>
      <c r="C1" s="157"/>
      <c r="D1" s="157"/>
      <c r="E1" s="157"/>
      <c r="F1" s="157"/>
      <c r="G1" s="157" t="s">
        <v>51</v>
      </c>
    </row>
    <row r="2" ht="50.1" customHeight="1" spans="1:7">
      <c r="A2" s="216" t="s">
        <v>16</v>
      </c>
      <c r="B2" s="216"/>
      <c r="C2" s="216"/>
      <c r="D2" s="216"/>
      <c r="E2" s="216"/>
      <c r="F2" s="216"/>
      <c r="G2" s="216"/>
    </row>
    <row r="3" ht="30" customHeight="1" spans="1:7">
      <c r="A3" s="217" t="s">
        <v>52</v>
      </c>
      <c r="B3" s="217"/>
      <c r="C3" s="218"/>
      <c r="D3" s="216"/>
      <c r="E3" s="216"/>
      <c r="F3" s="216"/>
      <c r="G3" s="216"/>
    </row>
    <row r="4" ht="30" customHeight="1" spans="1:7">
      <c r="A4" s="163" t="s">
        <v>53</v>
      </c>
      <c r="B4" s="163"/>
      <c r="C4" s="163" t="str">
        <f>出2!C3</f>
        <v>出厂水</v>
      </c>
      <c r="D4" s="163"/>
      <c r="E4" s="163" t="s">
        <v>33</v>
      </c>
      <c r="F4" s="164" t="str">
        <f>出2!C8</f>
        <v>W250318C11</v>
      </c>
      <c r="G4" s="165"/>
    </row>
    <row r="5" ht="18.75" customHeight="1" spans="2:7">
      <c r="B5" s="218"/>
      <c r="C5" s="218"/>
      <c r="D5" s="218"/>
      <c r="E5" s="218"/>
      <c r="F5" s="218"/>
      <c r="G5" s="219"/>
    </row>
    <row r="6" ht="15" customHeight="1" spans="1:7">
      <c r="A6" s="168" t="s">
        <v>54</v>
      </c>
      <c r="B6" s="168" t="s">
        <v>55</v>
      </c>
      <c r="C6" s="168" t="s">
        <v>56</v>
      </c>
      <c r="D6" s="168" t="s">
        <v>16</v>
      </c>
      <c r="E6" s="169" t="s">
        <v>57</v>
      </c>
      <c r="F6" s="220" t="s">
        <v>58</v>
      </c>
      <c r="G6" s="221"/>
    </row>
    <row r="7" ht="15" customHeight="1" spans="1:7">
      <c r="A7" s="174"/>
      <c r="B7" s="222"/>
      <c r="C7" s="174"/>
      <c r="D7" s="222"/>
      <c r="E7" s="175" t="s">
        <v>59</v>
      </c>
      <c r="F7" s="223"/>
      <c r="G7" s="224"/>
    </row>
    <row r="8" ht="24" customHeight="1" spans="1:7">
      <c r="A8" s="178">
        <v>1</v>
      </c>
      <c r="B8" s="225" t="s">
        <v>60</v>
      </c>
      <c r="C8" s="226" t="s">
        <v>61</v>
      </c>
      <c r="D8" s="227">
        <v>0.89</v>
      </c>
      <c r="E8" s="228" t="s">
        <v>62</v>
      </c>
      <c r="F8" s="229" t="s">
        <v>63</v>
      </c>
      <c r="G8" s="230"/>
    </row>
    <row r="9" ht="24" customHeight="1" spans="1:7">
      <c r="A9" s="178">
        <v>2</v>
      </c>
      <c r="B9" s="231" t="s">
        <v>64</v>
      </c>
      <c r="C9" s="231" t="s">
        <v>65</v>
      </c>
      <c r="D9" s="180" t="s">
        <v>66</v>
      </c>
      <c r="E9" s="180">
        <v>15</v>
      </c>
      <c r="F9" s="183" t="s">
        <v>67</v>
      </c>
      <c r="G9" s="184"/>
    </row>
    <row r="10" ht="24" customHeight="1" spans="1:7">
      <c r="A10" s="178">
        <v>3</v>
      </c>
      <c r="B10" s="231" t="s">
        <v>68</v>
      </c>
      <c r="C10" s="180" t="s">
        <v>69</v>
      </c>
      <c r="D10" s="193">
        <v>0.35</v>
      </c>
      <c r="E10" s="195">
        <v>1</v>
      </c>
      <c r="F10" s="183" t="s">
        <v>70</v>
      </c>
      <c r="G10" s="184"/>
    </row>
    <row r="11" ht="24" customHeight="1" spans="1:7">
      <c r="A11" s="178">
        <v>4</v>
      </c>
      <c r="B11" s="180" t="s">
        <v>71</v>
      </c>
      <c r="C11" s="180" t="s">
        <v>44</v>
      </c>
      <c r="D11" s="193" t="s">
        <v>72</v>
      </c>
      <c r="E11" s="180" t="s">
        <v>72</v>
      </c>
      <c r="F11" s="183" t="s">
        <v>73</v>
      </c>
      <c r="G11" s="184"/>
    </row>
    <row r="12" ht="24" customHeight="1" spans="1:7">
      <c r="A12" s="178">
        <v>5</v>
      </c>
      <c r="B12" s="180" t="s">
        <v>74</v>
      </c>
      <c r="C12" s="180" t="s">
        <v>44</v>
      </c>
      <c r="D12" s="180" t="s">
        <v>75</v>
      </c>
      <c r="E12" s="180" t="s">
        <v>75</v>
      </c>
      <c r="F12" s="183" t="s">
        <v>76</v>
      </c>
      <c r="G12" s="184"/>
    </row>
    <row r="13" ht="24" customHeight="1" spans="1:7">
      <c r="A13" s="178">
        <v>6</v>
      </c>
      <c r="B13" s="180" t="s">
        <v>77</v>
      </c>
      <c r="C13" s="180" t="s">
        <v>61</v>
      </c>
      <c r="D13" s="193">
        <v>1.36</v>
      </c>
      <c r="E13" s="195">
        <v>3</v>
      </c>
      <c r="F13" s="183" t="s">
        <v>78</v>
      </c>
      <c r="G13" s="184"/>
    </row>
    <row r="14" ht="24" customHeight="1" spans="1:7">
      <c r="A14" s="178">
        <v>7</v>
      </c>
      <c r="B14" s="180" t="s">
        <v>79</v>
      </c>
      <c r="C14" s="180" t="s">
        <v>44</v>
      </c>
      <c r="D14" s="193">
        <v>7.53</v>
      </c>
      <c r="E14" s="180" t="s">
        <v>80</v>
      </c>
      <c r="F14" s="183" t="s">
        <v>81</v>
      </c>
      <c r="G14" s="184"/>
    </row>
    <row r="15" ht="24" customHeight="1" spans="1:7">
      <c r="A15" s="178">
        <v>8</v>
      </c>
      <c r="B15" s="231" t="s">
        <v>82</v>
      </c>
      <c r="C15" s="180" t="s">
        <v>83</v>
      </c>
      <c r="D15" s="232" t="s">
        <v>84</v>
      </c>
      <c r="E15" s="180">
        <v>100</v>
      </c>
      <c r="F15" s="183" t="s">
        <v>85</v>
      </c>
      <c r="G15" s="184"/>
    </row>
    <row r="16" ht="24" customHeight="1" spans="1:7">
      <c r="A16" s="178">
        <v>9</v>
      </c>
      <c r="B16" s="231" t="s">
        <v>86</v>
      </c>
      <c r="C16" s="180" t="s">
        <v>87</v>
      </c>
      <c r="D16" s="233">
        <v>0</v>
      </c>
      <c r="E16" s="231" t="s">
        <v>88</v>
      </c>
      <c r="F16" s="183" t="s">
        <v>89</v>
      </c>
      <c r="G16" s="184"/>
    </row>
    <row r="17" ht="24" customHeight="1" spans="1:7">
      <c r="A17" s="178">
        <v>10</v>
      </c>
      <c r="B17" s="231" t="s">
        <v>90</v>
      </c>
      <c r="C17" s="180" t="s">
        <v>87</v>
      </c>
      <c r="D17" s="233">
        <v>0</v>
      </c>
      <c r="E17" s="231" t="s">
        <v>88</v>
      </c>
      <c r="F17" s="183" t="s">
        <v>91</v>
      </c>
      <c r="G17" s="184"/>
    </row>
    <row r="18" ht="24" customHeight="1" spans="1:7">
      <c r="A18" s="178">
        <v>11</v>
      </c>
      <c r="B18" s="180" t="s">
        <v>92</v>
      </c>
      <c r="C18" s="180" t="s">
        <v>61</v>
      </c>
      <c r="D18" s="194">
        <v>0.16</v>
      </c>
      <c r="E18" s="234">
        <v>1</v>
      </c>
      <c r="F18" s="183" t="s">
        <v>93</v>
      </c>
      <c r="G18" s="184"/>
    </row>
    <row r="19" ht="24" customHeight="1" spans="1:7">
      <c r="A19" s="178">
        <v>12</v>
      </c>
      <c r="B19" s="180" t="s">
        <v>94</v>
      </c>
      <c r="C19" s="180" t="s">
        <v>61</v>
      </c>
      <c r="D19" s="193">
        <v>8.19</v>
      </c>
      <c r="E19" s="180">
        <v>250</v>
      </c>
      <c r="F19" s="183" t="s">
        <v>95</v>
      </c>
      <c r="G19" s="184"/>
    </row>
    <row r="20" ht="24" customHeight="1" spans="1:7">
      <c r="A20" s="178">
        <v>13</v>
      </c>
      <c r="B20" s="180" t="s">
        <v>96</v>
      </c>
      <c r="C20" s="180" t="s">
        <v>61</v>
      </c>
      <c r="D20" s="193" t="s">
        <v>97</v>
      </c>
      <c r="E20" s="180">
        <v>10</v>
      </c>
      <c r="F20" s="183" t="s">
        <v>98</v>
      </c>
      <c r="G20" s="184"/>
    </row>
    <row r="21" ht="24" customHeight="1" spans="1:7">
      <c r="A21" s="178">
        <v>14</v>
      </c>
      <c r="B21" s="180" t="s">
        <v>99</v>
      </c>
      <c r="C21" s="180" t="s">
        <v>61</v>
      </c>
      <c r="D21" s="234">
        <v>31.4</v>
      </c>
      <c r="E21" s="180">
        <v>250</v>
      </c>
      <c r="F21" s="183" t="s">
        <v>100</v>
      </c>
      <c r="G21" s="184"/>
    </row>
    <row r="22" ht="24" customHeight="1" spans="1:7">
      <c r="A22" s="178">
        <v>15</v>
      </c>
      <c r="B22" s="235" t="s">
        <v>101</v>
      </c>
      <c r="C22" s="180" t="s">
        <v>61</v>
      </c>
      <c r="D22" s="194" t="s">
        <v>102</v>
      </c>
      <c r="E22" s="180">
        <v>0.7</v>
      </c>
      <c r="F22" s="236" t="s">
        <v>103</v>
      </c>
      <c r="G22" s="237"/>
    </row>
    <row r="23" ht="24" customHeight="1" spans="1:7">
      <c r="A23" s="178">
        <v>16</v>
      </c>
      <c r="B23" s="235" t="s">
        <v>104</v>
      </c>
      <c r="C23" s="180" t="s">
        <v>61</v>
      </c>
      <c r="D23" s="194" t="s">
        <v>102</v>
      </c>
      <c r="E23" s="180">
        <v>0.7</v>
      </c>
      <c r="F23" s="236" t="s">
        <v>103</v>
      </c>
      <c r="G23" s="237"/>
    </row>
    <row r="24" ht="24" customHeight="1" spans="1:7">
      <c r="A24" s="178">
        <v>17</v>
      </c>
      <c r="B24" s="188" t="s">
        <v>105</v>
      </c>
      <c r="C24" s="188" t="s">
        <v>61</v>
      </c>
      <c r="D24" s="197" t="s">
        <v>106</v>
      </c>
      <c r="E24" s="188">
        <v>0.05</v>
      </c>
      <c r="F24" s="236" t="s">
        <v>107</v>
      </c>
      <c r="G24" s="237"/>
    </row>
    <row r="25" ht="24" customHeight="1" spans="1:7">
      <c r="A25" s="178">
        <v>18</v>
      </c>
      <c r="B25" s="188" t="s">
        <v>108</v>
      </c>
      <c r="C25" s="188" t="s">
        <v>61</v>
      </c>
      <c r="D25" s="197" t="s">
        <v>109</v>
      </c>
      <c r="E25" s="188">
        <v>0.1</v>
      </c>
      <c r="F25" s="236" t="s">
        <v>107</v>
      </c>
      <c r="G25" s="237"/>
    </row>
    <row r="26" ht="24" customHeight="1" spans="1:7">
      <c r="A26" s="178">
        <v>19</v>
      </c>
      <c r="B26" s="238" t="s">
        <v>110</v>
      </c>
      <c r="C26" s="180" t="s">
        <v>61</v>
      </c>
      <c r="D26" s="239" t="s">
        <v>111</v>
      </c>
      <c r="E26" s="182">
        <v>1</v>
      </c>
      <c r="F26" s="183" t="s">
        <v>112</v>
      </c>
      <c r="G26" s="184"/>
    </row>
    <row r="27" ht="24" customHeight="1" spans="1:7">
      <c r="A27" s="178">
        <v>20</v>
      </c>
      <c r="B27" s="179" t="s">
        <v>113</v>
      </c>
      <c r="C27" s="180" t="s">
        <v>61</v>
      </c>
      <c r="D27" s="181" t="s">
        <v>109</v>
      </c>
      <c r="E27" s="179">
        <v>0.3</v>
      </c>
      <c r="F27" s="183" t="s">
        <v>114</v>
      </c>
      <c r="G27" s="184"/>
    </row>
    <row r="28" ht="24" customHeight="1" spans="1:7">
      <c r="A28" s="178">
        <v>21</v>
      </c>
      <c r="B28" s="179" t="s">
        <v>115</v>
      </c>
      <c r="C28" s="180" t="s">
        <v>61</v>
      </c>
      <c r="D28" s="181" t="s">
        <v>111</v>
      </c>
      <c r="E28" s="179">
        <v>0.1</v>
      </c>
      <c r="F28" s="183" t="s">
        <v>116</v>
      </c>
      <c r="G28" s="184"/>
    </row>
    <row r="29" ht="24" customHeight="1" spans="1:7">
      <c r="A29" s="178">
        <v>22</v>
      </c>
      <c r="B29" s="240" t="s">
        <v>117</v>
      </c>
      <c r="C29" s="188" t="s">
        <v>61</v>
      </c>
      <c r="D29" s="241" t="s">
        <v>118</v>
      </c>
      <c r="E29" s="240">
        <v>0.01</v>
      </c>
      <c r="F29" s="183" t="s">
        <v>119</v>
      </c>
      <c r="G29" s="184"/>
    </row>
    <row r="30" spans="7:7">
      <c r="G30" s="242"/>
    </row>
    <row r="31" ht="15" spans="1:7">
      <c r="A31" s="213" t="s">
        <v>120</v>
      </c>
      <c r="B31" s="213"/>
      <c r="C31" s="213"/>
      <c r="D31" s="213"/>
      <c r="G31" s="24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F23" sqref="F23:G23"/>
    </sheetView>
  </sheetViews>
  <sheetFormatPr defaultColWidth="9" defaultRowHeight="14.25" outlineLevelCol="6"/>
  <cols>
    <col min="1" max="1" width="5" style="156" customWidth="1"/>
    <col min="2" max="2" width="18.75" style="156" customWidth="1"/>
    <col min="3" max="3" width="8.375" style="156" customWidth="1"/>
    <col min="4" max="4" width="13.375" style="156" customWidth="1"/>
    <col min="5" max="5" width="18.625" style="156" customWidth="1"/>
    <col min="6" max="6" width="10.375" style="156" customWidth="1"/>
    <col min="7" max="7" width="17.625" style="156" customWidth="1"/>
    <col min="8" max="16384" width="9" style="156"/>
  </cols>
  <sheetData>
    <row r="1" s="155" customFormat="1" ht="50.1" customHeight="1" spans="1:7">
      <c r="A1" s="157" t="str">
        <f>出3!A1</f>
        <v>国家城市供水水质监测网重庆监测站 ( 06 )字( 2025 )第( 220 )号</v>
      </c>
      <c r="B1" s="157"/>
      <c r="C1" s="157"/>
      <c r="D1" s="157"/>
      <c r="E1" s="157"/>
      <c r="F1" s="157"/>
      <c r="G1" s="158" t="s">
        <v>121</v>
      </c>
    </row>
    <row r="2" ht="50.1" customHeight="1" spans="1:7">
      <c r="A2" s="159" t="s">
        <v>16</v>
      </c>
      <c r="B2" s="159"/>
      <c r="C2" s="159"/>
      <c r="D2" s="159"/>
      <c r="E2" s="159"/>
      <c r="F2" s="159"/>
      <c r="G2" s="159"/>
    </row>
    <row r="3" ht="30" customHeight="1" spans="1:7">
      <c r="A3" s="160" t="s">
        <v>52</v>
      </c>
      <c r="B3" s="160"/>
      <c r="C3" s="161"/>
      <c r="D3" s="159"/>
      <c r="E3" s="159"/>
      <c r="F3" s="159"/>
      <c r="G3" s="159"/>
    </row>
    <row r="4" ht="30" customHeight="1" spans="1:7">
      <c r="A4" s="162" t="s">
        <v>53</v>
      </c>
      <c r="B4" s="162"/>
      <c r="C4" s="162" t="str">
        <f>出3!C4</f>
        <v>出厂水</v>
      </c>
      <c r="D4" s="162"/>
      <c r="E4" s="163" t="s">
        <v>33</v>
      </c>
      <c r="F4" s="164" t="str">
        <f>出3!F4</f>
        <v>W250318C11</v>
      </c>
      <c r="G4" s="165"/>
    </row>
    <row r="5" ht="18.75" customHeight="1" spans="2:7">
      <c r="B5" s="161"/>
      <c r="C5" s="161"/>
      <c r="D5" s="161"/>
      <c r="E5" s="161"/>
      <c r="F5" s="161"/>
      <c r="G5" s="166"/>
    </row>
    <row r="6" ht="15" customHeight="1" spans="1:7">
      <c r="A6" s="167" t="s">
        <v>54</v>
      </c>
      <c r="B6" s="167" t="s">
        <v>55</v>
      </c>
      <c r="C6" s="168" t="s">
        <v>56</v>
      </c>
      <c r="D6" s="167" t="s">
        <v>16</v>
      </c>
      <c r="E6" s="169" t="s">
        <v>57</v>
      </c>
      <c r="F6" s="170" t="s">
        <v>58</v>
      </c>
      <c r="G6" s="171"/>
    </row>
    <row r="7" ht="15" customHeight="1" spans="1:7">
      <c r="A7" s="172"/>
      <c r="B7" s="173"/>
      <c r="C7" s="174"/>
      <c r="D7" s="173"/>
      <c r="E7" s="175" t="s">
        <v>59</v>
      </c>
      <c r="F7" s="176"/>
      <c r="G7" s="177"/>
    </row>
    <row r="8" ht="24" customHeight="1" spans="1:7">
      <c r="A8" s="178">
        <v>23</v>
      </c>
      <c r="B8" s="179" t="s">
        <v>122</v>
      </c>
      <c r="C8" s="180" t="s">
        <v>61</v>
      </c>
      <c r="D8" s="181" t="s">
        <v>123</v>
      </c>
      <c r="E8" s="182">
        <v>1</v>
      </c>
      <c r="F8" s="183" t="s">
        <v>124</v>
      </c>
      <c r="G8" s="184"/>
    </row>
    <row r="9" ht="24" customHeight="1" spans="1:7">
      <c r="A9" s="178">
        <v>24</v>
      </c>
      <c r="B9" s="185" t="s">
        <v>125</v>
      </c>
      <c r="C9" s="180" t="s">
        <v>61</v>
      </c>
      <c r="D9" s="186" t="s">
        <v>126</v>
      </c>
      <c r="E9" s="185">
        <v>0.01</v>
      </c>
      <c r="F9" s="183" t="s">
        <v>127</v>
      </c>
      <c r="G9" s="184"/>
    </row>
    <row r="10" ht="24" customHeight="1" spans="1:7">
      <c r="A10" s="178">
        <v>25</v>
      </c>
      <c r="B10" s="187" t="s">
        <v>128</v>
      </c>
      <c r="C10" s="188" t="s">
        <v>61</v>
      </c>
      <c r="D10" s="189" t="s">
        <v>129</v>
      </c>
      <c r="E10" s="187">
        <v>0.001</v>
      </c>
      <c r="F10" s="183" t="s">
        <v>130</v>
      </c>
      <c r="G10" s="184"/>
    </row>
    <row r="11" ht="24" customHeight="1" spans="1:7">
      <c r="A11" s="178">
        <v>26</v>
      </c>
      <c r="B11" s="187" t="s">
        <v>131</v>
      </c>
      <c r="C11" s="188" t="s">
        <v>61</v>
      </c>
      <c r="D11" s="190" t="s">
        <v>132</v>
      </c>
      <c r="E11" s="187">
        <v>0.005</v>
      </c>
      <c r="F11" s="183" t="s">
        <v>133</v>
      </c>
      <c r="G11" s="184"/>
    </row>
    <row r="12" ht="24" customHeight="1" spans="1:7">
      <c r="A12" s="178">
        <v>27</v>
      </c>
      <c r="B12" s="185" t="s">
        <v>134</v>
      </c>
      <c r="C12" s="180" t="s">
        <v>61</v>
      </c>
      <c r="D12" s="191" t="s">
        <v>135</v>
      </c>
      <c r="E12" s="186">
        <v>0.01</v>
      </c>
      <c r="F12" s="183" t="s">
        <v>136</v>
      </c>
      <c r="G12" s="184"/>
    </row>
    <row r="13" ht="24" customHeight="1" spans="1:7">
      <c r="A13" s="178">
        <v>28</v>
      </c>
      <c r="B13" s="185" t="s">
        <v>137</v>
      </c>
      <c r="C13" s="180" t="s">
        <v>61</v>
      </c>
      <c r="D13" s="192" t="s">
        <v>109</v>
      </c>
      <c r="E13" s="185">
        <v>0.2</v>
      </c>
      <c r="F13" s="183" t="s">
        <v>138</v>
      </c>
      <c r="G13" s="184"/>
    </row>
    <row r="14" ht="24" customHeight="1" spans="1:7">
      <c r="A14" s="178">
        <v>29</v>
      </c>
      <c r="B14" s="180" t="s">
        <v>139</v>
      </c>
      <c r="C14" s="180" t="s">
        <v>61</v>
      </c>
      <c r="D14" s="193" t="s">
        <v>102</v>
      </c>
      <c r="E14" s="180">
        <v>0.3</v>
      </c>
      <c r="F14" s="183" t="s">
        <v>140</v>
      </c>
      <c r="G14" s="184"/>
    </row>
    <row r="15" ht="24" customHeight="1" spans="1:7">
      <c r="A15" s="178">
        <v>30</v>
      </c>
      <c r="B15" s="180" t="s">
        <v>141</v>
      </c>
      <c r="C15" s="180" t="s">
        <v>61</v>
      </c>
      <c r="D15" s="193" t="s">
        <v>132</v>
      </c>
      <c r="E15" s="180">
        <v>0.002</v>
      </c>
      <c r="F15" s="183" t="s">
        <v>142</v>
      </c>
      <c r="G15" s="184"/>
    </row>
    <row r="16" ht="24" customHeight="1" spans="1:7">
      <c r="A16" s="178">
        <v>31</v>
      </c>
      <c r="B16" s="180" t="s">
        <v>143</v>
      </c>
      <c r="C16" s="180" t="s">
        <v>61</v>
      </c>
      <c r="D16" s="193" t="s">
        <v>132</v>
      </c>
      <c r="E16" s="180">
        <v>0.05</v>
      </c>
      <c r="F16" s="183" t="s">
        <v>144</v>
      </c>
      <c r="G16" s="184"/>
    </row>
    <row r="17" ht="24" customHeight="1" spans="1:7">
      <c r="A17" s="178">
        <v>32</v>
      </c>
      <c r="B17" s="180" t="s">
        <v>145</v>
      </c>
      <c r="C17" s="180" t="s">
        <v>61</v>
      </c>
      <c r="D17" s="194" t="s">
        <v>111</v>
      </c>
      <c r="E17" s="180">
        <v>0.05</v>
      </c>
      <c r="F17" s="183" t="s">
        <v>146</v>
      </c>
      <c r="G17" s="184"/>
    </row>
    <row r="18" ht="24" customHeight="1" spans="1:7">
      <c r="A18" s="178">
        <v>33</v>
      </c>
      <c r="B18" s="180" t="s">
        <v>147</v>
      </c>
      <c r="C18" s="180" t="s">
        <v>61</v>
      </c>
      <c r="D18" s="195">
        <v>133</v>
      </c>
      <c r="E18" s="180">
        <v>450</v>
      </c>
      <c r="F18" s="183" t="s">
        <v>148</v>
      </c>
      <c r="G18" s="184"/>
    </row>
    <row r="19" ht="24" customHeight="1" spans="1:7">
      <c r="A19" s="178">
        <v>34</v>
      </c>
      <c r="B19" s="180" t="s">
        <v>149</v>
      </c>
      <c r="C19" s="180" t="s">
        <v>61</v>
      </c>
      <c r="D19" s="196">
        <v>187</v>
      </c>
      <c r="E19" s="180">
        <v>1000</v>
      </c>
      <c r="F19" s="183" t="s">
        <v>150</v>
      </c>
      <c r="G19" s="184"/>
    </row>
    <row r="20" ht="24" customHeight="1" spans="1:7">
      <c r="A20" s="178">
        <v>35</v>
      </c>
      <c r="B20" s="188" t="s">
        <v>151</v>
      </c>
      <c r="C20" s="188" t="s">
        <v>61</v>
      </c>
      <c r="D20" s="197" t="s">
        <v>152</v>
      </c>
      <c r="E20" s="188">
        <v>0.5</v>
      </c>
      <c r="F20" s="198" t="s">
        <v>153</v>
      </c>
      <c r="G20" s="199"/>
    </row>
    <row r="21" ht="24" customHeight="1" spans="1:7">
      <c r="A21" s="178">
        <v>36</v>
      </c>
      <c r="B21" s="180" t="s">
        <v>154</v>
      </c>
      <c r="C21" s="180" t="s">
        <v>155</v>
      </c>
      <c r="D21" s="197">
        <v>0.034</v>
      </c>
      <c r="E21" s="180" t="s">
        <v>156</v>
      </c>
      <c r="F21" s="183" t="s">
        <v>157</v>
      </c>
      <c r="G21" s="184"/>
    </row>
    <row r="22" ht="24" customHeight="1" spans="1:7">
      <c r="A22" s="178">
        <v>37</v>
      </c>
      <c r="B22" s="180" t="s">
        <v>158</v>
      </c>
      <c r="C22" s="180" t="s">
        <v>155</v>
      </c>
      <c r="D22" s="197">
        <v>0.104</v>
      </c>
      <c r="E22" s="180" t="s">
        <v>159</v>
      </c>
      <c r="F22" s="183" t="s">
        <v>160</v>
      </c>
      <c r="G22" s="184"/>
    </row>
    <row r="23" ht="24" customHeight="1" spans="1:7">
      <c r="A23" s="178">
        <v>38</v>
      </c>
      <c r="B23" s="200" t="s">
        <v>161</v>
      </c>
      <c r="C23" s="200" t="s">
        <v>61</v>
      </c>
      <c r="D23" s="201">
        <v>0.0026</v>
      </c>
      <c r="E23" s="200">
        <v>0.06</v>
      </c>
      <c r="F23" s="202" t="s">
        <v>162</v>
      </c>
      <c r="G23" s="203"/>
    </row>
    <row r="24" ht="24" customHeight="1" spans="1:7">
      <c r="A24" s="178">
        <v>39</v>
      </c>
      <c r="B24" s="200" t="s">
        <v>163</v>
      </c>
      <c r="C24" s="200" t="s">
        <v>61</v>
      </c>
      <c r="D24" s="204" t="s">
        <v>164</v>
      </c>
      <c r="E24" s="200">
        <v>0.002</v>
      </c>
      <c r="F24" s="202" t="s">
        <v>165</v>
      </c>
      <c r="G24" s="203"/>
    </row>
    <row r="25" ht="24" customHeight="1" spans="1:7">
      <c r="A25" s="178">
        <v>40</v>
      </c>
      <c r="B25" s="200" t="s">
        <v>166</v>
      </c>
      <c r="C25" s="200" t="s">
        <v>61</v>
      </c>
      <c r="D25" s="205" t="s">
        <v>167</v>
      </c>
      <c r="E25" s="200">
        <v>0.1</v>
      </c>
      <c r="F25" s="202" t="s">
        <v>165</v>
      </c>
      <c r="G25" s="203"/>
    </row>
    <row r="26" ht="24" customHeight="1" spans="1:7">
      <c r="A26" s="178">
        <v>41</v>
      </c>
      <c r="B26" s="200" t="s">
        <v>168</v>
      </c>
      <c r="C26" s="200" t="s">
        <v>61</v>
      </c>
      <c r="D26" s="201" t="s">
        <v>164</v>
      </c>
      <c r="E26" s="200">
        <v>0.1</v>
      </c>
      <c r="F26" s="202" t="s">
        <v>165</v>
      </c>
      <c r="G26" s="203"/>
    </row>
    <row r="27" ht="24" customHeight="1" spans="1:7">
      <c r="A27" s="178">
        <v>42</v>
      </c>
      <c r="B27" s="200" t="s">
        <v>169</v>
      </c>
      <c r="C27" s="200" t="s">
        <v>61</v>
      </c>
      <c r="D27" s="201">
        <v>0.0013</v>
      </c>
      <c r="E27" s="200">
        <v>0.06</v>
      </c>
      <c r="F27" s="202" t="s">
        <v>165</v>
      </c>
      <c r="G27" s="203"/>
    </row>
    <row r="28" ht="24" customHeight="1" spans="1:7">
      <c r="A28" s="178">
        <v>43</v>
      </c>
      <c r="B28" s="188" t="s">
        <v>170</v>
      </c>
      <c r="C28" s="188" t="s">
        <v>44</v>
      </c>
      <c r="D28" s="206">
        <v>0.076</v>
      </c>
      <c r="E28" s="207" t="s">
        <v>171</v>
      </c>
      <c r="F28" s="202" t="s">
        <v>165</v>
      </c>
      <c r="G28" s="203"/>
    </row>
    <row r="29" ht="24" customHeight="1" spans="1:7">
      <c r="A29" s="208" t="s">
        <v>172</v>
      </c>
      <c r="B29" s="209"/>
      <c r="C29" s="210"/>
      <c r="D29" s="211"/>
      <c r="E29" s="210"/>
      <c r="F29" s="212"/>
      <c r="G29" s="212"/>
    </row>
    <row r="31" ht="15" spans="1:4">
      <c r="A31" s="213" t="s">
        <v>120</v>
      </c>
      <c r="B31" s="213"/>
      <c r="C31" s="213"/>
      <c r="D31" s="2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A21" sqref="A21"/>
    </sheetView>
  </sheetViews>
  <sheetFormatPr defaultColWidth="9" defaultRowHeight="13.5" outlineLevelCol="4"/>
  <cols>
    <col min="1" max="1" width="92.625" style="141" customWidth="1"/>
    <col min="2" max="4" width="9" style="141" customWidth="1"/>
    <col min="5" max="16384" width="9" style="141"/>
  </cols>
  <sheetData>
    <row r="1" ht="30" customHeight="1" spans="1:1">
      <c r="A1" s="142" t="str">
        <f>出3!A1</f>
        <v>国家城市供水水质监测网重庆监测站 ( 06 )字( 2025 )第( 220 )号</v>
      </c>
    </row>
    <row r="2" ht="30" customHeight="1" spans="1:1">
      <c r="A2" s="143" t="s">
        <v>173</v>
      </c>
    </row>
    <row r="3" ht="55.5" customHeight="1" spans="1:1">
      <c r="A3" s="144" t="s">
        <v>174</v>
      </c>
    </row>
    <row r="4" ht="39.95" customHeight="1" spans="1:5">
      <c r="A4" s="145" t="s">
        <v>175</v>
      </c>
      <c r="E4" s="146" t="s">
        <v>3</v>
      </c>
    </row>
    <row r="5" ht="39.95" customHeight="1" spans="1:1">
      <c r="A5" s="147" t="s">
        <v>176</v>
      </c>
    </row>
    <row r="6" ht="39.95" customHeight="1" spans="1:1">
      <c r="A6" s="148" t="s">
        <v>177</v>
      </c>
    </row>
    <row r="7" ht="39.95" customHeight="1" spans="1:1">
      <c r="A7" s="149" t="s">
        <v>178</v>
      </c>
    </row>
    <row r="8" ht="30" customHeight="1" spans="1:1">
      <c r="A8" s="150" t="s">
        <v>179</v>
      </c>
    </row>
    <row r="9" ht="39.95" customHeight="1" spans="1:1">
      <c r="A9" s="149" t="s">
        <v>180</v>
      </c>
    </row>
    <row r="10" ht="39.95" customHeight="1" spans="1:1">
      <c r="A10" s="150" t="s">
        <v>181</v>
      </c>
    </row>
    <row r="11" ht="39.95" customHeight="1" spans="1:1">
      <c r="A11" s="150" t="s">
        <v>182</v>
      </c>
    </row>
    <row r="12" ht="24.95" customHeight="1" spans="1:1">
      <c r="A12" s="151" t="s">
        <v>183</v>
      </c>
    </row>
    <row r="13" ht="24.95" customHeight="1" spans="1:1">
      <c r="A13" s="152" t="s">
        <v>184</v>
      </c>
    </row>
    <row r="14" ht="24.95" customHeight="1" spans="1:1">
      <c r="A14" s="153"/>
    </row>
    <row r="15" ht="24.95" customHeight="1" spans="1:1">
      <c r="A15" s="154" t="s">
        <v>185</v>
      </c>
    </row>
    <row r="16" ht="24.95" customHeight="1" spans="1:1">
      <c r="A16" s="154" t="s">
        <v>186</v>
      </c>
    </row>
    <row r="17" ht="24.95" customHeight="1" spans="1:1">
      <c r="A17" s="154" t="s">
        <v>187</v>
      </c>
    </row>
    <row r="18" ht="24.95" customHeight="1" spans="1:1">
      <c r="A18" s="154" t="s">
        <v>188</v>
      </c>
    </row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SheetLayoutView="60" workbookViewId="0">
      <selection activeCell="A6" sqref="A6:C6"/>
    </sheetView>
  </sheetViews>
  <sheetFormatPr defaultColWidth="9" defaultRowHeight="13.5" outlineLevelCol="4"/>
  <cols>
    <col min="1" max="1" width="23.625" style="1" customWidth="1"/>
    <col min="2" max="2" width="17.625" style="1" customWidth="1"/>
    <col min="3" max="3" width="52.625" style="1" customWidth="1"/>
    <col min="4" max="16384" width="9" style="1"/>
  </cols>
  <sheetData>
    <row r="1" s="1" customFormat="1" ht="30" customHeight="1" spans="2:3">
      <c r="B1" s="2" t="s">
        <v>189</v>
      </c>
      <c r="C1" s="2"/>
    </row>
    <row r="2" ht="30" customHeight="1" spans="2:3">
      <c r="B2" s="2" t="s">
        <v>190</v>
      </c>
      <c r="C2" s="2"/>
    </row>
    <row r="3" ht="95.1" customHeight="1" spans="2:3">
      <c r="B3" s="103"/>
      <c r="C3" s="103"/>
    </row>
    <row r="4" ht="69.95" customHeight="1" spans="1:5">
      <c r="A4" s="135" t="s">
        <v>2</v>
      </c>
      <c r="B4" s="135"/>
      <c r="C4" s="135"/>
      <c r="E4" s="6" t="s">
        <v>3</v>
      </c>
    </row>
    <row r="5" ht="69.95" customHeight="1" spans="1:3">
      <c r="A5" s="135" t="s">
        <v>4</v>
      </c>
      <c r="B5" s="135"/>
      <c r="C5" s="135"/>
    </row>
    <row r="6" ht="69.95" customHeight="1" spans="1:3">
      <c r="A6" s="135" t="s">
        <v>5</v>
      </c>
      <c r="B6" s="135"/>
      <c r="C6" s="135"/>
    </row>
    <row r="7" ht="78.75" customHeight="1" spans="2:3">
      <c r="B7" s="135"/>
      <c r="C7" s="135"/>
    </row>
    <row r="8" ht="30" customHeight="1" spans="2:3">
      <c r="B8" s="136" t="s">
        <v>191</v>
      </c>
      <c r="C8" s="137" t="s">
        <v>192</v>
      </c>
    </row>
    <row r="9" ht="30" customHeight="1" spans="2:3">
      <c r="B9" s="136" t="s">
        <v>193</v>
      </c>
      <c r="C9" s="137" t="s">
        <v>194</v>
      </c>
    </row>
    <row r="10" ht="30" customHeight="1" spans="2:3">
      <c r="B10" s="138" t="s">
        <v>195</v>
      </c>
      <c r="C10" s="139" t="s">
        <v>196</v>
      </c>
    </row>
    <row r="11" ht="30" customHeight="1" spans="2:3">
      <c r="B11" s="138" t="s">
        <v>197</v>
      </c>
      <c r="C11" s="140" t="s">
        <v>198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zoomScaleSheetLayoutView="60" workbookViewId="0">
      <selection activeCell="J8" sqref="J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2.125" style="1" customWidth="1"/>
    <col min="6" max="16384" width="9" style="1"/>
  </cols>
  <sheetData>
    <row r="1" s="1" customFormat="1" ht="50.1" customHeight="1" spans="1:5">
      <c r="A1" s="97" t="s">
        <v>199</v>
      </c>
      <c r="B1" s="18"/>
      <c r="C1" s="18"/>
      <c r="D1" s="18"/>
      <c r="E1" s="19" t="s">
        <v>200</v>
      </c>
    </row>
    <row r="2" ht="39" customHeight="1" spans="1:5">
      <c r="A2" s="98" t="s">
        <v>16</v>
      </c>
      <c r="B2" s="98"/>
      <c r="C2" s="98"/>
      <c r="D2" s="98"/>
      <c r="E2" s="98"/>
    </row>
    <row r="3" ht="38.25" customHeight="1" spans="1:8">
      <c r="A3" s="99" t="s">
        <v>17</v>
      </c>
      <c r="B3" s="100" t="s">
        <v>18</v>
      </c>
      <c r="C3" s="101" t="s">
        <v>201</v>
      </c>
      <c r="D3" s="100" t="s">
        <v>20</v>
      </c>
      <c r="E3" s="102" t="s">
        <v>202</v>
      </c>
      <c r="F3" s="103"/>
      <c r="G3" s="103"/>
      <c r="H3" s="103"/>
    </row>
    <row r="4" ht="38.25" customHeight="1" spans="1:8">
      <c r="A4" s="99"/>
      <c r="B4" s="100" t="s">
        <v>22</v>
      </c>
      <c r="C4" s="104" t="s">
        <v>203</v>
      </c>
      <c r="D4" s="102" t="s">
        <v>204</v>
      </c>
      <c r="E4" s="105" t="s">
        <v>205</v>
      </c>
      <c r="F4" s="103"/>
      <c r="G4" s="103"/>
      <c r="H4" s="103"/>
    </row>
    <row r="5" ht="38.25" customHeight="1" spans="1:8">
      <c r="A5" s="99"/>
      <c r="B5" s="106" t="s">
        <v>26</v>
      </c>
      <c r="C5" s="102" t="s">
        <v>44</v>
      </c>
      <c r="D5" s="100" t="s">
        <v>28</v>
      </c>
      <c r="E5" s="105" t="str">
        <f>E4</f>
        <v>2024.08.06</v>
      </c>
      <c r="F5" s="103"/>
      <c r="G5" s="103"/>
      <c r="H5" s="103"/>
    </row>
    <row r="6" ht="38.25" customHeight="1" spans="1:8">
      <c r="A6" s="99"/>
      <c r="B6" s="100" t="s">
        <v>29</v>
      </c>
      <c r="C6" s="102" t="s">
        <v>206</v>
      </c>
      <c r="D6" s="100"/>
      <c r="E6" s="100"/>
      <c r="F6" s="103"/>
      <c r="G6" s="103"/>
      <c r="H6" s="103"/>
    </row>
    <row r="7" ht="38.25" customHeight="1" spans="1:8">
      <c r="A7" s="99"/>
      <c r="B7" s="100" t="s">
        <v>31</v>
      </c>
      <c r="C7" s="102" t="s">
        <v>32</v>
      </c>
      <c r="D7" s="100"/>
      <c r="E7" s="100"/>
      <c r="F7" s="103"/>
      <c r="G7" s="103"/>
      <c r="H7" s="103"/>
    </row>
    <row r="8" ht="38.25" customHeight="1" spans="1:8">
      <c r="A8" s="99"/>
      <c r="B8" s="102" t="s">
        <v>33</v>
      </c>
      <c r="C8" s="100" t="s">
        <v>207</v>
      </c>
      <c r="D8" s="100" t="s">
        <v>35</v>
      </c>
      <c r="E8" s="107" t="s">
        <v>208</v>
      </c>
      <c r="F8" s="103"/>
      <c r="G8" s="103"/>
      <c r="H8" s="103"/>
    </row>
    <row r="9" ht="38.25" customHeight="1" spans="1:8">
      <c r="A9" s="99"/>
      <c r="B9" s="100" t="s">
        <v>37</v>
      </c>
      <c r="C9" s="108" t="s">
        <v>209</v>
      </c>
      <c r="D9" s="109"/>
      <c r="E9" s="110"/>
      <c r="F9" s="103"/>
      <c r="G9" s="103"/>
      <c r="H9" s="103"/>
    </row>
    <row r="10" ht="20" customHeight="1" spans="1:8">
      <c r="A10" s="99"/>
      <c r="B10" s="111" t="s">
        <v>39</v>
      </c>
      <c r="C10" s="112" t="s">
        <v>210</v>
      </c>
      <c r="D10" s="113"/>
      <c r="E10" s="114"/>
      <c r="F10" s="103"/>
      <c r="G10" s="103"/>
      <c r="H10" s="103"/>
    </row>
    <row r="11" ht="20" customHeight="1" spans="1:8">
      <c r="A11" s="99"/>
      <c r="B11" s="115"/>
      <c r="C11" s="116"/>
      <c r="D11" s="117"/>
      <c r="E11" s="118"/>
      <c r="F11" s="103"/>
      <c r="G11" s="103"/>
      <c r="H11" s="103"/>
    </row>
    <row r="12" ht="20" customHeight="1" spans="1:8">
      <c r="A12" s="99"/>
      <c r="B12" s="119"/>
      <c r="C12" s="120"/>
      <c r="D12" s="121"/>
      <c r="E12" s="122"/>
      <c r="F12" s="103"/>
      <c r="G12" s="103"/>
      <c r="H12" s="103"/>
    </row>
    <row r="13" ht="38.1" customHeight="1" spans="1:8">
      <c r="A13" s="99" t="s">
        <v>41</v>
      </c>
      <c r="B13" s="100" t="s">
        <v>44</v>
      </c>
      <c r="C13" s="100"/>
      <c r="D13" s="100"/>
      <c r="E13" s="100"/>
      <c r="F13" s="103"/>
      <c r="G13" s="103"/>
      <c r="H13" s="103"/>
    </row>
    <row r="14" ht="38.1" customHeight="1" spans="1:8">
      <c r="A14" s="99" t="s">
        <v>43</v>
      </c>
      <c r="B14" s="123" t="s">
        <v>44</v>
      </c>
      <c r="C14" s="124"/>
      <c r="D14" s="124"/>
      <c r="E14" s="125"/>
      <c r="F14" s="103"/>
      <c r="G14" s="103"/>
      <c r="H14" s="103"/>
    </row>
    <row r="15" ht="69.95" customHeight="1" spans="1:8">
      <c r="A15" s="126" t="s">
        <v>45</v>
      </c>
      <c r="B15" s="127"/>
      <c r="C15" s="128"/>
      <c r="D15" s="129" t="s">
        <v>46</v>
      </c>
      <c r="E15" s="129"/>
      <c r="F15" s="103"/>
      <c r="G15" s="103"/>
      <c r="H15" s="103"/>
    </row>
    <row r="16" ht="69.95" customHeight="1" spans="1:8">
      <c r="A16" s="126" t="s">
        <v>47</v>
      </c>
      <c r="B16" s="130"/>
      <c r="C16" s="130"/>
      <c r="D16" s="131"/>
      <c r="E16" s="131"/>
      <c r="F16" s="103"/>
      <c r="G16" s="103"/>
      <c r="H16" s="103"/>
    </row>
    <row r="17" ht="50.1" customHeight="1" spans="1:8">
      <c r="A17" s="126" t="s">
        <v>48</v>
      </c>
      <c r="B17" s="132"/>
      <c r="C17" s="126"/>
      <c r="D17" s="132" t="s">
        <v>49</v>
      </c>
      <c r="E17" s="133"/>
      <c r="F17" s="103"/>
      <c r="G17" s="103"/>
      <c r="H17" s="103"/>
    </row>
    <row r="18" ht="26.25" customHeight="1" spans="1:8">
      <c r="A18" s="134"/>
      <c r="B18" s="103"/>
      <c r="C18" s="134"/>
      <c r="D18" s="103"/>
      <c r="E18" s="1"/>
      <c r="F18" s="103"/>
      <c r="G18" s="103"/>
      <c r="H18" s="103"/>
    </row>
    <row r="19" ht="15" spans="1:8">
      <c r="A19" s="65" t="s">
        <v>211</v>
      </c>
      <c r="B19" s="65"/>
      <c r="C19" s="65"/>
      <c r="D19" s="103"/>
      <c r="E19" s="103"/>
      <c r="F19" s="103"/>
      <c r="G19" s="103"/>
      <c r="H19" s="103"/>
    </row>
    <row r="20" spans="1:8">
      <c r="A20" s="103"/>
      <c r="B20" s="103"/>
      <c r="C20" s="103"/>
      <c r="D20" s="103"/>
      <c r="E20" s="103"/>
      <c r="F20" s="103"/>
      <c r="G20" s="103"/>
      <c r="H20" s="103"/>
    </row>
    <row r="21" spans="1:8">
      <c r="A21" s="103"/>
      <c r="B21" s="103"/>
      <c r="C21" s="103"/>
      <c r="D21" s="103"/>
      <c r="E21" s="103"/>
      <c r="F21" s="103"/>
      <c r="G21" s="103"/>
      <c r="H21" s="103"/>
    </row>
    <row r="22" spans="1:8">
      <c r="A22" s="103"/>
      <c r="B22" s="103"/>
      <c r="C22" s="103"/>
      <c r="D22" s="103"/>
      <c r="E22" s="103"/>
      <c r="F22" s="103"/>
      <c r="G22" s="103"/>
      <c r="H22" s="103"/>
    </row>
    <row r="23" spans="1:8">
      <c r="A23" s="103"/>
      <c r="B23" s="103"/>
      <c r="C23" s="103"/>
      <c r="D23" s="103"/>
      <c r="E23" s="103"/>
      <c r="F23" s="103"/>
      <c r="G23" s="103"/>
      <c r="H23" s="103"/>
    </row>
    <row r="24" spans="1:8">
      <c r="A24" s="103"/>
      <c r="B24" s="103"/>
      <c r="C24" s="103"/>
      <c r="D24" s="103"/>
      <c r="E24" s="103"/>
      <c r="F24" s="103"/>
      <c r="G24" s="103"/>
      <c r="H24" s="103"/>
    </row>
    <row r="25" spans="1:8">
      <c r="A25" s="103"/>
      <c r="B25" s="103"/>
      <c r="C25" s="103"/>
      <c r="D25" s="103"/>
      <c r="E25" s="103"/>
      <c r="F25" s="103"/>
      <c r="G25" s="103"/>
      <c r="H25" s="103"/>
    </row>
    <row r="26" spans="1:8">
      <c r="A26" s="103"/>
      <c r="B26" s="103"/>
      <c r="C26" s="103"/>
      <c r="D26" s="103"/>
      <c r="E26" s="103"/>
      <c r="F26" s="103"/>
      <c r="G26" s="103"/>
      <c r="H26" s="103"/>
    </row>
    <row r="27" spans="1:8">
      <c r="A27" s="103"/>
      <c r="B27" s="103"/>
      <c r="C27" s="103"/>
      <c r="D27" s="103"/>
      <c r="E27" s="103"/>
      <c r="F27" s="103"/>
      <c r="G27" s="103"/>
      <c r="H27" s="103"/>
    </row>
    <row r="28" spans="1:8">
      <c r="A28" s="103"/>
      <c r="B28" s="103"/>
      <c r="C28" s="103"/>
      <c r="D28" s="103"/>
      <c r="E28" s="103"/>
      <c r="F28" s="103"/>
      <c r="G28" s="103"/>
      <c r="H28" s="103"/>
    </row>
    <row r="29" spans="1:8">
      <c r="A29" s="103"/>
      <c r="B29" s="103"/>
      <c r="C29" s="103"/>
      <c r="D29" s="103"/>
      <c r="E29" s="103"/>
      <c r="F29" s="103"/>
      <c r="G29" s="103"/>
      <c r="H29" s="103"/>
    </row>
    <row r="30" spans="1:8">
      <c r="A30" s="103"/>
      <c r="B30" s="103"/>
      <c r="C30" s="103"/>
      <c r="D30" s="103"/>
      <c r="E30" s="103"/>
      <c r="F30" s="103"/>
      <c r="G30" s="103"/>
      <c r="H30" s="103"/>
    </row>
    <row r="31" spans="1:8">
      <c r="A31" s="103"/>
      <c r="B31" s="103"/>
      <c r="C31" s="103"/>
      <c r="D31" s="103"/>
      <c r="E31" s="103"/>
      <c r="F31" s="103"/>
      <c r="G31" s="103"/>
      <c r="H31" s="103"/>
    </row>
    <row r="32" spans="1:8">
      <c r="A32" s="103"/>
      <c r="B32" s="103"/>
      <c r="C32" s="103"/>
      <c r="D32" s="103"/>
      <c r="E32" s="103"/>
      <c r="F32" s="103"/>
      <c r="G32" s="103"/>
      <c r="H32" s="10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 horizontalDpi="600" vertic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zoomScaleSheetLayoutView="60" topLeftCell="A4" workbookViewId="0">
      <selection activeCell="D15" sqref="D15"/>
    </sheetView>
  </sheetViews>
  <sheetFormatPr defaultColWidth="9" defaultRowHeight="14.25" outlineLevelCol="6"/>
  <cols>
    <col min="1" max="1" width="4.625" style="68" customWidth="1"/>
    <col min="2" max="2" width="17.5" style="68" customWidth="1"/>
    <col min="3" max="3" width="7.125" style="68" customWidth="1"/>
    <col min="4" max="4" width="9.75" style="68" customWidth="1"/>
    <col min="5" max="5" width="19.25" style="68" customWidth="1"/>
    <col min="6" max="6" width="13.625" style="68" customWidth="1"/>
    <col min="7" max="7" width="17.625" style="68" customWidth="1"/>
    <col min="8" max="16384" width="9" style="68"/>
  </cols>
  <sheetData>
    <row r="1" s="67" customFormat="1" ht="50.1" customHeight="1" spans="1:7">
      <c r="A1" s="18" t="str">
        <f>原2!A1</f>
        <v>国家城市供水水质监测网重庆监测站 ( 06 )字( 2025 )第( 333 )号</v>
      </c>
      <c r="B1" s="18"/>
      <c r="C1" s="18"/>
      <c r="D1" s="18"/>
      <c r="E1" s="18"/>
      <c r="F1" s="18"/>
      <c r="G1" s="19" t="s">
        <v>212</v>
      </c>
    </row>
    <row r="2" ht="50.1" customHeight="1" spans="1:7">
      <c r="A2" s="69" t="s">
        <v>16</v>
      </c>
      <c r="B2" s="69"/>
      <c r="C2" s="69"/>
      <c r="D2" s="69"/>
      <c r="E2" s="69"/>
      <c r="F2" s="69"/>
      <c r="G2" s="69"/>
    </row>
    <row r="3" ht="30" customHeight="1" spans="1:7">
      <c r="A3" s="70" t="s">
        <v>52</v>
      </c>
      <c r="B3" s="70"/>
      <c r="C3" s="71"/>
      <c r="D3" s="69"/>
      <c r="E3" s="69"/>
      <c r="F3" s="69"/>
      <c r="G3" s="69"/>
    </row>
    <row r="4" ht="30" customHeight="1" spans="1:7">
      <c r="A4" s="72" t="s">
        <v>53</v>
      </c>
      <c r="B4" s="72"/>
      <c r="C4" s="72" t="str">
        <f>原2!C3</f>
        <v>原水(地表水)</v>
      </c>
      <c r="D4" s="72"/>
      <c r="E4" s="24" t="s">
        <v>33</v>
      </c>
      <c r="F4" s="25" t="str">
        <f>原2!C8</f>
        <v>L240806Z34</v>
      </c>
      <c r="G4" s="26"/>
    </row>
    <row r="5" ht="18.75" customHeight="1" spans="2:7">
      <c r="B5" s="71"/>
      <c r="C5" s="71"/>
      <c r="D5" s="71"/>
      <c r="E5" s="71"/>
      <c r="F5" s="71"/>
      <c r="G5" s="73"/>
    </row>
    <row r="6" ht="15" customHeight="1" spans="1:7">
      <c r="A6" s="74" t="s">
        <v>54</v>
      </c>
      <c r="B6" s="74" t="s">
        <v>213</v>
      </c>
      <c r="C6" s="29" t="s">
        <v>56</v>
      </c>
      <c r="D6" s="74" t="s">
        <v>16</v>
      </c>
      <c r="E6" s="75" t="s">
        <v>214</v>
      </c>
      <c r="F6" s="76" t="s">
        <v>58</v>
      </c>
      <c r="G6" s="77"/>
    </row>
    <row r="7" ht="15" customHeight="1" spans="1:7">
      <c r="A7" s="78"/>
      <c r="B7" s="79"/>
      <c r="C7" s="35"/>
      <c r="D7" s="79"/>
      <c r="E7" s="80" t="s">
        <v>215</v>
      </c>
      <c r="F7" s="81"/>
      <c r="G7" s="82"/>
    </row>
    <row r="8" ht="36" customHeight="1" spans="1:7">
      <c r="A8" s="83">
        <v>1</v>
      </c>
      <c r="B8" s="83" t="s">
        <v>216</v>
      </c>
      <c r="C8" s="47" t="s">
        <v>217</v>
      </c>
      <c r="D8" s="84">
        <v>28.8</v>
      </c>
      <c r="E8" s="85" t="s">
        <v>218</v>
      </c>
      <c r="F8" s="86" t="s">
        <v>219</v>
      </c>
      <c r="G8" s="87"/>
    </row>
    <row r="9" ht="30" customHeight="1" spans="1:7">
      <c r="A9" s="83">
        <v>2</v>
      </c>
      <c r="B9" s="83" t="s">
        <v>79</v>
      </c>
      <c r="C9" s="40" t="s">
        <v>44</v>
      </c>
      <c r="D9" s="88">
        <v>8</v>
      </c>
      <c r="E9" s="83" t="s">
        <v>220</v>
      </c>
      <c r="F9" s="43" t="s">
        <v>221</v>
      </c>
      <c r="G9" s="44"/>
    </row>
    <row r="10" ht="30" customHeight="1" spans="1:7">
      <c r="A10" s="83">
        <v>3</v>
      </c>
      <c r="B10" s="83" t="s">
        <v>222</v>
      </c>
      <c r="C10" s="40" t="s">
        <v>61</v>
      </c>
      <c r="D10" s="88">
        <v>2.8</v>
      </c>
      <c r="E10" s="83" t="s">
        <v>223</v>
      </c>
      <c r="F10" s="43" t="s">
        <v>224</v>
      </c>
      <c r="G10" s="44"/>
    </row>
    <row r="11" ht="30" customHeight="1" spans="1:7">
      <c r="A11" s="83">
        <v>4</v>
      </c>
      <c r="B11" s="89" t="s">
        <v>225</v>
      </c>
      <c r="C11" s="40" t="s">
        <v>61</v>
      </c>
      <c r="D11" s="88">
        <v>7.72</v>
      </c>
      <c r="E11" s="83" t="s">
        <v>226</v>
      </c>
      <c r="F11" s="86" t="s">
        <v>227</v>
      </c>
      <c r="G11" s="87"/>
    </row>
    <row r="12" ht="30" customHeight="1" spans="1:7">
      <c r="A12" s="83">
        <v>5</v>
      </c>
      <c r="B12" s="89" t="s">
        <v>228</v>
      </c>
      <c r="C12" s="40" t="s">
        <v>61</v>
      </c>
      <c r="D12" s="84">
        <v>7.1</v>
      </c>
      <c r="E12" s="83" t="s">
        <v>229</v>
      </c>
      <c r="F12" s="86" t="s">
        <v>230</v>
      </c>
      <c r="G12" s="87"/>
    </row>
    <row r="13" ht="30" customHeight="1" spans="1:7">
      <c r="A13" s="83">
        <v>6</v>
      </c>
      <c r="B13" s="89" t="s">
        <v>231</v>
      </c>
      <c r="C13" s="40" t="s">
        <v>61</v>
      </c>
      <c r="D13" s="88" t="s">
        <v>232</v>
      </c>
      <c r="E13" s="83" t="s">
        <v>233</v>
      </c>
      <c r="F13" s="86" t="s">
        <v>234</v>
      </c>
      <c r="G13" s="87"/>
    </row>
    <row r="14" ht="30" customHeight="1" spans="1:7">
      <c r="A14" s="83">
        <v>7</v>
      </c>
      <c r="B14" s="90" t="s">
        <v>235</v>
      </c>
      <c r="C14" s="40" t="s">
        <v>236</v>
      </c>
      <c r="D14" s="91">
        <v>1900</v>
      </c>
      <c r="E14" s="83" t="s">
        <v>237</v>
      </c>
      <c r="F14" s="86" t="s">
        <v>238</v>
      </c>
      <c r="G14" s="87"/>
    </row>
    <row r="15" ht="30" customHeight="1" spans="1:7">
      <c r="A15" s="83">
        <v>8</v>
      </c>
      <c r="B15" s="83" t="s">
        <v>239</v>
      </c>
      <c r="C15" s="40" t="s">
        <v>61</v>
      </c>
      <c r="D15" s="92">
        <v>0.155</v>
      </c>
      <c r="E15" s="84" t="s">
        <v>240</v>
      </c>
      <c r="F15" s="43" t="s">
        <v>241</v>
      </c>
      <c r="G15" s="44"/>
    </row>
    <row r="16" ht="30" customHeight="1" spans="1:7">
      <c r="A16" s="83">
        <v>9</v>
      </c>
      <c r="B16" s="83" t="s">
        <v>242</v>
      </c>
      <c r="C16" s="40" t="s">
        <v>61</v>
      </c>
      <c r="D16" s="88">
        <v>5.75</v>
      </c>
      <c r="E16" s="83">
        <v>250</v>
      </c>
      <c r="F16" s="43" t="s">
        <v>243</v>
      </c>
      <c r="G16" s="44"/>
    </row>
    <row r="17" ht="30" customHeight="1" spans="1:7">
      <c r="A17" s="83">
        <v>10</v>
      </c>
      <c r="B17" s="83" t="s">
        <v>96</v>
      </c>
      <c r="C17" s="40" t="s">
        <v>61</v>
      </c>
      <c r="D17" s="88">
        <v>1.51</v>
      </c>
      <c r="E17" s="83">
        <v>10</v>
      </c>
      <c r="F17" s="43" t="s">
        <v>244</v>
      </c>
      <c r="G17" s="44"/>
    </row>
    <row r="18" ht="30" customHeight="1" spans="1:7">
      <c r="A18" s="83">
        <v>11</v>
      </c>
      <c r="B18" s="83" t="s">
        <v>245</v>
      </c>
      <c r="C18" s="40" t="s">
        <v>61</v>
      </c>
      <c r="D18" s="84">
        <v>25.9</v>
      </c>
      <c r="E18" s="83">
        <v>250</v>
      </c>
      <c r="F18" s="43" t="s">
        <v>246</v>
      </c>
      <c r="G18" s="44"/>
    </row>
    <row r="19" ht="30" customHeight="1" spans="1:7">
      <c r="A19" s="83">
        <v>12</v>
      </c>
      <c r="B19" s="83" t="s">
        <v>110</v>
      </c>
      <c r="C19" s="40" t="s">
        <v>61</v>
      </c>
      <c r="D19" s="92" t="s">
        <v>111</v>
      </c>
      <c r="E19" s="83" t="s">
        <v>240</v>
      </c>
      <c r="F19" s="43" t="s">
        <v>247</v>
      </c>
      <c r="G19" s="44"/>
    </row>
    <row r="20" ht="30" customHeight="1" spans="1:7">
      <c r="A20" s="83">
        <v>13</v>
      </c>
      <c r="B20" s="83" t="s">
        <v>113</v>
      </c>
      <c r="C20" s="40" t="s">
        <v>61</v>
      </c>
      <c r="D20" s="92">
        <v>0.618</v>
      </c>
      <c r="E20" s="83">
        <v>0.3</v>
      </c>
      <c r="F20" s="43" t="s">
        <v>248</v>
      </c>
      <c r="G20" s="44"/>
    </row>
    <row r="21" ht="30" customHeight="1" spans="1:7">
      <c r="A21" s="83">
        <v>14</v>
      </c>
      <c r="B21" s="83" t="s">
        <v>115</v>
      </c>
      <c r="C21" s="40" t="s">
        <v>61</v>
      </c>
      <c r="D21" s="92">
        <v>0.02</v>
      </c>
      <c r="E21" s="83">
        <v>0.1</v>
      </c>
      <c r="F21" s="43" t="s">
        <v>249</v>
      </c>
      <c r="G21" s="44"/>
    </row>
    <row r="22" ht="30" customHeight="1" spans="1:7">
      <c r="A22" s="93">
        <v>15</v>
      </c>
      <c r="B22" s="93" t="s">
        <v>117</v>
      </c>
      <c r="C22" s="39" t="s">
        <v>61</v>
      </c>
      <c r="D22" s="94" t="s">
        <v>118</v>
      </c>
      <c r="E22" s="93" t="s">
        <v>250</v>
      </c>
      <c r="F22" s="43" t="s">
        <v>251</v>
      </c>
      <c r="G22" s="44"/>
    </row>
    <row r="23" spans="7:7">
      <c r="G23" s="95"/>
    </row>
    <row r="24" ht="15.75" customHeight="1" spans="1:7">
      <c r="A24" s="65" t="s">
        <v>252</v>
      </c>
      <c r="B24" s="65"/>
      <c r="C24" s="65"/>
      <c r="D24" s="65"/>
      <c r="G24" s="96"/>
    </row>
  </sheetData>
  <mergeCells count="27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A24:D24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 horizontalDpi="600" verticalDpi="6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zoomScaleSheetLayoutView="60" topLeftCell="A10" workbookViewId="0">
      <selection activeCell="E6" sqref="E6"/>
    </sheetView>
  </sheetViews>
  <sheetFormatPr defaultColWidth="9" defaultRowHeight="14.25" outlineLevelCol="6"/>
  <cols>
    <col min="1" max="1" width="5" style="17" customWidth="1"/>
    <col min="2" max="2" width="17.625" style="17" customWidth="1"/>
    <col min="3" max="3" width="8.375" style="17" customWidth="1"/>
    <col min="4" max="4" width="10.875" style="17" customWidth="1"/>
    <col min="5" max="5" width="15.375" style="17" customWidth="1"/>
    <col min="6" max="6" width="15.5" style="17" customWidth="1"/>
    <col min="7" max="7" width="17.625" style="17" customWidth="1"/>
    <col min="8" max="16384" width="9" style="17"/>
  </cols>
  <sheetData>
    <row r="1" s="16" customFormat="1" ht="50.1" customHeight="1" spans="1:7">
      <c r="A1" s="18" t="str">
        <f>原3!A1</f>
        <v>国家城市供水水质监测网重庆监测站 ( 06 )字( 2025 )第( 333 )号</v>
      </c>
      <c r="B1" s="18"/>
      <c r="C1" s="18"/>
      <c r="D1" s="18"/>
      <c r="E1" s="18"/>
      <c r="F1" s="18"/>
      <c r="G1" s="19" t="s">
        <v>253</v>
      </c>
    </row>
    <row r="2" ht="50.1" customHeight="1" spans="1:7">
      <c r="A2" s="20" t="s">
        <v>16</v>
      </c>
      <c r="B2" s="20"/>
      <c r="C2" s="20"/>
      <c r="D2" s="20"/>
      <c r="E2" s="20"/>
      <c r="F2" s="20"/>
      <c r="G2" s="20"/>
    </row>
    <row r="3" ht="30" customHeight="1" spans="1:7">
      <c r="A3" s="21" t="s">
        <v>52</v>
      </c>
      <c r="B3" s="21"/>
      <c r="C3" s="22"/>
      <c r="D3" s="20"/>
      <c r="E3" s="20"/>
      <c r="F3" s="20"/>
      <c r="G3" s="20"/>
    </row>
    <row r="4" ht="30" customHeight="1" spans="1:7">
      <c r="A4" s="23" t="s">
        <v>53</v>
      </c>
      <c r="B4" s="23"/>
      <c r="C4" s="23" t="str">
        <f>原3!C4</f>
        <v>原水(地表水)</v>
      </c>
      <c r="D4" s="23"/>
      <c r="E4" s="24" t="s">
        <v>33</v>
      </c>
      <c r="F4" s="25" t="str">
        <f>原3!F4</f>
        <v>L240806Z34</v>
      </c>
      <c r="G4" s="26"/>
    </row>
    <row r="5" ht="18.75" customHeight="1" spans="2:7">
      <c r="B5" s="22"/>
      <c r="C5" s="22"/>
      <c r="D5" s="22"/>
      <c r="E5" s="22"/>
      <c r="F5" s="22"/>
      <c r="G5" s="27"/>
    </row>
    <row r="6" ht="15" customHeight="1" spans="1:7">
      <c r="A6" s="28" t="s">
        <v>54</v>
      </c>
      <c r="B6" s="28" t="s">
        <v>213</v>
      </c>
      <c r="C6" s="29" t="s">
        <v>56</v>
      </c>
      <c r="D6" s="28" t="s">
        <v>16</v>
      </c>
      <c r="E6" s="30" t="s">
        <v>214</v>
      </c>
      <c r="F6" s="31" t="s">
        <v>58</v>
      </c>
      <c r="G6" s="32"/>
    </row>
    <row r="7" ht="15" customHeight="1" spans="1:7">
      <c r="A7" s="33"/>
      <c r="B7" s="34"/>
      <c r="C7" s="35"/>
      <c r="D7" s="34"/>
      <c r="E7" s="36" t="s">
        <v>215</v>
      </c>
      <c r="F7" s="37"/>
      <c r="G7" s="38"/>
    </row>
    <row r="8" ht="30" customHeight="1" spans="1:7">
      <c r="A8" s="39">
        <v>16</v>
      </c>
      <c r="B8" s="40" t="s">
        <v>122</v>
      </c>
      <c r="C8" s="40" t="s">
        <v>61</v>
      </c>
      <c r="D8" s="41" t="s">
        <v>123</v>
      </c>
      <c r="E8" s="42" t="s">
        <v>240</v>
      </c>
      <c r="F8" s="43" t="s">
        <v>254</v>
      </c>
      <c r="G8" s="44"/>
    </row>
    <row r="9" ht="30" customHeight="1" spans="1:7">
      <c r="A9" s="39">
        <v>17</v>
      </c>
      <c r="B9" s="40" t="s">
        <v>125</v>
      </c>
      <c r="C9" s="40" t="s">
        <v>61</v>
      </c>
      <c r="D9" s="45" t="s">
        <v>126</v>
      </c>
      <c r="E9" s="40" t="s">
        <v>255</v>
      </c>
      <c r="F9" s="43" t="s">
        <v>256</v>
      </c>
      <c r="G9" s="44"/>
    </row>
    <row r="10" ht="30" customHeight="1" spans="1:7">
      <c r="A10" s="39">
        <v>18</v>
      </c>
      <c r="B10" s="40" t="s">
        <v>128</v>
      </c>
      <c r="C10" s="40" t="s">
        <v>61</v>
      </c>
      <c r="D10" s="45" t="s">
        <v>129</v>
      </c>
      <c r="E10" s="40" t="s">
        <v>257</v>
      </c>
      <c r="F10" s="43" t="s">
        <v>258</v>
      </c>
      <c r="G10" s="44"/>
    </row>
    <row r="11" ht="30" customHeight="1" spans="1:7">
      <c r="A11" s="39">
        <v>19</v>
      </c>
      <c r="B11" s="40" t="s">
        <v>131</v>
      </c>
      <c r="C11" s="40" t="s">
        <v>61</v>
      </c>
      <c r="D11" s="41" t="s">
        <v>132</v>
      </c>
      <c r="E11" s="40" t="s">
        <v>259</v>
      </c>
      <c r="F11" s="43" t="s">
        <v>260</v>
      </c>
      <c r="G11" s="44"/>
    </row>
    <row r="12" ht="30" customHeight="1" spans="1:7">
      <c r="A12" s="39">
        <v>20</v>
      </c>
      <c r="B12" s="40" t="s">
        <v>134</v>
      </c>
      <c r="C12" s="40" t="s">
        <v>61</v>
      </c>
      <c r="D12" s="46" t="s">
        <v>135</v>
      </c>
      <c r="E12" s="45" t="s">
        <v>255</v>
      </c>
      <c r="F12" s="43" t="s">
        <v>261</v>
      </c>
      <c r="G12" s="44"/>
    </row>
    <row r="13" ht="30" customHeight="1" spans="1:7">
      <c r="A13" s="39">
        <v>21</v>
      </c>
      <c r="B13" s="47" t="s">
        <v>262</v>
      </c>
      <c r="C13" s="40" t="s">
        <v>61</v>
      </c>
      <c r="D13" s="45" t="s">
        <v>102</v>
      </c>
      <c r="E13" s="40" t="s">
        <v>263</v>
      </c>
      <c r="F13" s="43" t="s">
        <v>264</v>
      </c>
      <c r="G13" s="44"/>
    </row>
    <row r="14" ht="30" customHeight="1" spans="1:7">
      <c r="A14" s="39">
        <v>22</v>
      </c>
      <c r="B14" s="40" t="s">
        <v>265</v>
      </c>
      <c r="C14" s="40" t="s">
        <v>61</v>
      </c>
      <c r="D14" s="45" t="s">
        <v>132</v>
      </c>
      <c r="E14" s="40" t="s">
        <v>266</v>
      </c>
      <c r="F14" s="48" t="s">
        <v>267</v>
      </c>
      <c r="G14" s="49"/>
    </row>
    <row r="15" ht="30" customHeight="1" spans="1:7">
      <c r="A15" s="39">
        <v>23</v>
      </c>
      <c r="B15" s="40" t="s">
        <v>143</v>
      </c>
      <c r="C15" s="40" t="s">
        <v>61</v>
      </c>
      <c r="D15" s="45" t="s">
        <v>132</v>
      </c>
      <c r="E15" s="40" t="s">
        <v>250</v>
      </c>
      <c r="F15" s="48" t="s">
        <v>268</v>
      </c>
      <c r="G15" s="49"/>
    </row>
    <row r="16" ht="30" customHeight="1" spans="1:7">
      <c r="A16" s="39">
        <v>24</v>
      </c>
      <c r="B16" s="50" t="s">
        <v>145</v>
      </c>
      <c r="C16" s="40" t="s">
        <v>61</v>
      </c>
      <c r="D16" s="41" t="s">
        <v>111</v>
      </c>
      <c r="E16" s="40" t="s">
        <v>250</v>
      </c>
      <c r="F16" s="43" t="s">
        <v>269</v>
      </c>
      <c r="G16" s="44"/>
    </row>
    <row r="17" ht="30" customHeight="1" spans="1:7">
      <c r="A17" s="39">
        <v>25</v>
      </c>
      <c r="B17" s="40" t="s">
        <v>270</v>
      </c>
      <c r="C17" s="40" t="s">
        <v>61</v>
      </c>
      <c r="D17" s="45" t="s">
        <v>271</v>
      </c>
      <c r="E17" s="40" t="s">
        <v>250</v>
      </c>
      <c r="F17" s="48" t="s">
        <v>272</v>
      </c>
      <c r="G17" s="49"/>
    </row>
    <row r="18" ht="30" customHeight="1" spans="1:7">
      <c r="A18" s="39">
        <v>26</v>
      </c>
      <c r="B18" s="50" t="s">
        <v>273</v>
      </c>
      <c r="C18" s="40" t="s">
        <v>61</v>
      </c>
      <c r="D18" s="41" t="s">
        <v>152</v>
      </c>
      <c r="E18" s="40" t="s">
        <v>274</v>
      </c>
      <c r="F18" s="51" t="s">
        <v>275</v>
      </c>
      <c r="G18" s="52"/>
    </row>
    <row r="19" ht="30" customHeight="1" spans="1:7">
      <c r="A19" s="39">
        <v>27</v>
      </c>
      <c r="B19" s="50" t="s">
        <v>276</v>
      </c>
      <c r="C19" s="40" t="s">
        <v>61</v>
      </c>
      <c r="D19" s="41">
        <v>0.076</v>
      </c>
      <c r="E19" s="40" t="s">
        <v>274</v>
      </c>
      <c r="F19" s="48" t="s">
        <v>277</v>
      </c>
      <c r="G19" s="49"/>
    </row>
    <row r="20" ht="30" customHeight="1" spans="1:7">
      <c r="A20" s="39">
        <v>28</v>
      </c>
      <c r="B20" s="50" t="s">
        <v>278</v>
      </c>
      <c r="C20" s="40" t="s">
        <v>61</v>
      </c>
      <c r="D20" s="45">
        <v>1.87</v>
      </c>
      <c r="E20" s="40" t="s">
        <v>279</v>
      </c>
      <c r="F20" s="48" t="s">
        <v>280</v>
      </c>
      <c r="G20" s="49"/>
    </row>
    <row r="21" ht="30" customHeight="1" spans="1:7">
      <c r="A21" s="39">
        <v>29</v>
      </c>
      <c r="B21" s="53" t="s">
        <v>281</v>
      </c>
      <c r="C21" s="39" t="s">
        <v>61</v>
      </c>
      <c r="D21" s="54">
        <v>0.122</v>
      </c>
      <c r="E21" s="39" t="s">
        <v>279</v>
      </c>
      <c r="F21" s="48" t="s">
        <v>282</v>
      </c>
      <c r="G21" s="49"/>
    </row>
    <row r="22" ht="24" customHeight="1" spans="1:7">
      <c r="A22" s="55" t="s">
        <v>172</v>
      </c>
      <c r="B22" s="56"/>
      <c r="C22" s="57"/>
      <c r="D22" s="58"/>
      <c r="E22" s="59"/>
      <c r="F22" s="60"/>
      <c r="G22" s="60"/>
    </row>
    <row r="23" ht="13.5" spans="1:7">
      <c r="A23" s="61"/>
      <c r="B23" s="62"/>
      <c r="C23" s="61"/>
      <c r="D23" s="63"/>
      <c r="E23" s="61"/>
      <c r="F23" s="61"/>
      <c r="G23" s="64"/>
    </row>
    <row r="24" ht="15" spans="1:7">
      <c r="A24" s="65" t="s">
        <v>252</v>
      </c>
      <c r="B24" s="65"/>
      <c r="C24" s="65"/>
      <c r="D24" s="65"/>
      <c r="G24" s="66"/>
    </row>
  </sheetData>
  <mergeCells count="27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A22:B22"/>
    <mergeCell ref="A24:D24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 horizontalDpi="600" verticalDpi="6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zoomScaleSheetLayoutView="60" workbookViewId="0">
      <selection activeCell="E6" sqref="E6"/>
    </sheetView>
  </sheetViews>
  <sheetFormatPr defaultColWidth="9" defaultRowHeight="13.5" outlineLevelCol="4"/>
  <cols>
    <col min="1" max="1" width="92.625" style="1" customWidth="1"/>
    <col min="2" max="3" width="9" style="1" customWidth="1"/>
    <col min="4" max="16384" width="9" style="1"/>
  </cols>
  <sheetData>
    <row r="1" s="1" customFormat="1" ht="30" customHeight="1" spans="1:1">
      <c r="A1" s="2" t="str">
        <f>原3!A1</f>
        <v>国家城市供水水质监测网重庆监测站 ( 06 )字( 2025 )第( 333 )号</v>
      </c>
    </row>
    <row r="2" ht="30" customHeight="1" spans="1:1">
      <c r="A2" s="3" t="s">
        <v>283</v>
      </c>
    </row>
    <row r="3" ht="55.5" customHeight="1" spans="1:1">
      <c r="A3" s="4" t="s">
        <v>174</v>
      </c>
    </row>
    <row r="4" ht="39.95" customHeight="1" spans="1:5">
      <c r="A4" s="5" t="s">
        <v>284</v>
      </c>
      <c r="E4" s="6" t="s">
        <v>3</v>
      </c>
    </row>
    <row r="5" ht="39.95" customHeight="1" spans="1:1">
      <c r="A5" s="7" t="s">
        <v>285</v>
      </c>
    </row>
    <row r="6" ht="39.95" customHeight="1" spans="1:1">
      <c r="A6" s="8" t="s">
        <v>286</v>
      </c>
    </row>
    <row r="7" ht="39.95" customHeight="1" spans="1:1">
      <c r="A7" s="9" t="s">
        <v>178</v>
      </c>
    </row>
    <row r="8" ht="30" customHeight="1" spans="1:1">
      <c r="A8" s="10" t="s">
        <v>287</v>
      </c>
    </row>
    <row r="9" ht="39.95" customHeight="1" spans="1:1">
      <c r="A9" s="9" t="s">
        <v>180</v>
      </c>
    </row>
    <row r="10" ht="39.95" customHeight="1" spans="1:1">
      <c r="A10" s="10" t="s">
        <v>288</v>
      </c>
    </row>
    <row r="11" ht="39.95" customHeight="1" spans="1:2">
      <c r="A11" s="10" t="s">
        <v>289</v>
      </c>
      <c r="B11" s="11"/>
    </row>
    <row r="12" ht="24.95" customHeight="1" spans="1:1">
      <c r="A12" s="12" t="s">
        <v>290</v>
      </c>
    </row>
    <row r="13" ht="24.95" customHeight="1" spans="1:1">
      <c r="A13" s="13" t="s">
        <v>291</v>
      </c>
    </row>
    <row r="14" ht="24.95" customHeight="1" spans="1:1">
      <c r="A14" s="14"/>
    </row>
    <row r="15" ht="24.95" customHeight="1" spans="1:1">
      <c r="A15" s="15" t="s">
        <v>185</v>
      </c>
    </row>
    <row r="16" ht="24.95" customHeight="1" spans="1:1">
      <c r="A16" s="15" t="s">
        <v>292</v>
      </c>
    </row>
    <row r="17" ht="24.95" customHeight="1" spans="1:1">
      <c r="A17" s="15" t="s">
        <v>293</v>
      </c>
    </row>
    <row r="18" ht="24.95" customHeight="1" spans="1:1">
      <c r="A18" s="15" t="s">
        <v>294</v>
      </c>
    </row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出 1</vt:lpstr>
      <vt:lpstr>出2</vt:lpstr>
      <vt:lpstr>出3</vt:lpstr>
      <vt:lpstr>出4</vt:lpstr>
      <vt:lpstr>出5</vt:lpstr>
      <vt:lpstr>原1</vt:lpstr>
      <vt:lpstr>原2</vt:lpstr>
      <vt:lpstr>原3</vt:lpstr>
      <vt:lpstr>原4</vt:lpstr>
      <vt:lpstr>原5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李晓宁</dc:creator>
  <cp:lastModifiedBy>Henry's Mommy</cp:lastModifiedBy>
  <dcterms:created xsi:type="dcterms:W3CDTF">2024-05-20T00:59:00Z</dcterms:created>
  <cp:lastPrinted>2024-06-26T02:29:00Z</cp:lastPrinted>
  <dcterms:modified xsi:type="dcterms:W3CDTF">2025-12-30T08:28:36Z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